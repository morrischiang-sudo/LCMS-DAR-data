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. Input File Columns" sheetId="2" state="visible" r:id="rId4"/>
    <sheet name="2. App Config Parameters" sheetId="3" state="visible" r:id="rId5"/>
    <sheet name="3. Calculated Parameters" sheetId="4" state="visible" r:id="rId6"/>
    <sheet name="4. Standardization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<sst xmlns="http://schemas.openxmlformats.org/spreadsheetml/2006/main" count="269" uniqueCount="221">
  <si>
    <t xml:space="preserve">DAR Compass — Parameter Dictionary</t>
  </si>
  <si>
    <t xml:space="preserve">Reference list of every parameter DAR Compass reads, accepts, or calculates — for aligning input data across different source instruments/software.</t>
  </si>
  <si>
    <t xml:space="preserve">Purpose</t>
  </si>
  <si>
    <t xml:space="preserve">As we bring in LC-MS deconvolution exports from different source products, the same underlying quantity (e.g. an intact mass, or an abundance percentage) may arrive under different column names, or with a different definition, than what DAR Compass currently expects. This workbook lists every parameter the app touches — raw input columns, user-configured settings, and calculated outputs — so we can agree on one canonical definition per parameter before onboarding a new source.</t>
  </si>
  <si>
    <t xml:space="preserve">How to use this workbook</t>
  </si>
  <si>
    <t xml:space="preserve">1. Review sheet "1. Input File Columns" first — this is where format differences across source products are most likely to show up (column naming, units, and which abundance denominator is used).</t>
  </si>
  <si>
    <t xml:space="preserve">2. Add rows for any parameter your source files include that isn't listed here, or add a new alias to an existing row's "Known Aliases" column instead of creating a duplicate row.</t>
  </si>
  <si>
    <t xml:space="preserve">3. Use the "Review Status" column (dropdown) to mark rows you've confirmed, changed, or want to flag:</t>
  </si>
  <si>
    <t xml:space="preserve">     - Confirmed: verified directly against a real source file or the current app code.</t>
  </si>
  <si>
    <t xml:space="preserve">     - Needs Review: a best-guess mapping (e.g. another vendor's likely column name) that hasn't been checked against an actual export yet — please confirm or correct these.</t>
  </si>
  <si>
    <t xml:space="preserve">     - Proposed: not currently used by DAR Compass, but worth tracking as a candidate for future use (e.g. a QC filter).</t>
  </si>
  <si>
    <t xml:space="preserve">4. Sheet "4. Standardization Checklist" is a step-by-step list for onboarding a new source format once this dictionary is agreed on.</t>
  </si>
  <si>
    <t xml:space="preserve">A note on the vendor aliases in Sheet 1</t>
  </si>
  <si>
    <t xml:space="preserve">The "Known Aliases" column includes commonly-seen column names from other intact-mass deconvolution software, based on general conventions in the field. These are marked "Needs Review" because they have not been verified against an actual export from those specific tools — please correct them once we have a real sample file from each source product in use.</t>
  </si>
  <si>
    <t xml:space="preserve">Review Status legend</t>
  </si>
  <si>
    <t xml:space="preserve">   Confirmed</t>
  </si>
  <si>
    <t xml:space="preserve">   Needs Review</t>
  </si>
  <si>
    <t xml:space="preserve">   Proposed</t>
  </si>
  <si>
    <t xml:space="preserve">Row counts by Review Status (auto-updates as you edit)</t>
  </si>
  <si>
    <t xml:space="preserve">Canonical Parameter Name</t>
  </si>
  <si>
    <t xml:space="preserve">Applies To</t>
  </si>
  <si>
    <t xml:space="preserve">Required by
DAR Compass</t>
  </si>
  <si>
    <t xml:space="preserve">Definition</t>
  </si>
  <si>
    <t xml:space="preserve">Units</t>
  </si>
  <si>
    <t xml:space="preserve">Example Value</t>
  </si>
  <si>
    <t xml:space="preserve">Known Aliases in Other Export Formats</t>
  </si>
  <si>
    <t xml:space="preserve">Standardization Guidance</t>
  </si>
  <si>
    <t xml:space="preserve">Review Status</t>
  </si>
  <si>
    <t xml:space="preserve">Average Mass</t>
  </si>
  <si>
    <t xml:space="preserve">Both (mAb + ADC files)</t>
  </si>
  <si>
    <t xml:space="preserve">Yes — primary matching key</t>
  </si>
  <si>
    <t xml:space="preserve">Deconvoluted intact neutral mass of a detected species (average mass, not monoisotopic), in Daltons. This is the value matched against the theoretical mass ladder.</t>
  </si>
  <si>
    <t xml:space="preserve">Da</t>
  </si>
  <si>
    <t xml:space="preserve">144637.84 (mAb, dominant glycoform); 27210.21 (ADC, light-chain fragment)</t>
  </si>
  <si>
    <t xml:space="preserve">Neutral Mass; Deconvoluted Mass; Intact Mass; Mass (Da); MW. CAUTION: "Monoisotopic Mass" is NOT directly comparable — do not mix mass conventions.</t>
  </si>
  <si>
    <t xml:space="preserve">Rename source column to "Average Mass" on import. Confirm the software's mass mode (average vs. monoisotopic) matches the Linker-Payload MW values before combining.</t>
  </si>
  <si>
    <t xml:space="preserve">Needs Review</t>
  </si>
  <si>
    <t xml:space="preserve">Sum Intensity</t>
  </si>
  <si>
    <t xml:space="preserve">Both</t>
  </si>
  <si>
    <t xml:space="preserve">Yes — intensity weight for relative abundance / DAR</t>
  </si>
  <si>
    <t xml:space="preserve">Total summed ion intensity supporting the deconvoluted mass across contributing charge states/scans. Arbitrary instrument units, not absolute concentration.</t>
  </si>
  <si>
    <t xml:space="preserve">arbitrary intensity units</t>
  </si>
  <si>
    <t xml:space="preserve">24,123,629 (light-chain fragment, ADC file)</t>
  </si>
  <si>
    <t xml:space="preserve">Intensity; Total Intensity; Area; Peak Area; Abundance (counts)</t>
  </si>
  <si>
    <t xml:space="preserve">Confirm this is a linear (non-normalized) intensity value, not a pre-normalized percentage under a similar name.</t>
  </si>
  <si>
    <t xml:space="preserve">Fractional Abundance</t>
  </si>
  <si>
    <t xml:space="preserve">Both — ranks mAb base masses; drives ADC abundance-threshold filter</t>
  </si>
  <si>
    <t xml:space="preserve">Recommended (falls back to Relative Abundance if absent)</t>
  </si>
  <si>
    <t xml:space="preserve">Sum Intensity of this species as a percentage of TOTAL intensity summed across every detected species in the file.</t>
  </si>
  <si>
    <t xml:space="preserve">%</t>
  </si>
  <si>
    <t xml:space="preserve">74.11% (dominant mAb glycoform); 21.87% (dominant ADC fragment)</t>
  </si>
  <si>
    <t xml:space="preserve">% Total; Fractional Intensity (%); Relative Intensity (Total)</t>
  </si>
  <si>
    <t xml:space="preserve">Distinct from "Relative Abundance" below (whole-file vs. per-cluster denominator) — do not treat as interchangeable. Confirm denominator before mapping.</t>
  </si>
  <si>
    <t xml:space="preserve">Relative Abundance</t>
  </si>
  <si>
    <t xml:space="preserve">Both — fallback abundance ranking if Fractional Abundance is absent</t>
  </si>
  <si>
    <t xml:space="preserve">No (fallback only)</t>
  </si>
  <si>
    <t xml:space="preserve">Sum Intensity of this species relative to the most abundant species within its own charge-state/glycoform cluster (cluster's tallest peak = 100%).</t>
  </si>
  <si>
    <t xml:space="preserve">100 (dominant species in each file, by definition)</t>
  </si>
  <si>
    <t xml:space="preserve">% Relative; Rel. Abundance; Normalized Intensity (%)</t>
  </si>
  <si>
    <t xml:space="preserve">See Fractional Abundance note — confirm denominator before mapping either column.</t>
  </si>
  <si>
    <t xml:space="preserve">Score</t>
  </si>
  <si>
    <t xml:space="preserve">No — not currently used by DAR Compass</t>
  </si>
  <si>
    <t xml:space="preserve">Software-assigned deconvolution confidence/fit-quality score for the species (e.g. isotope-envelope fit). Scale is software-specific, not standardized across vendors.</t>
  </si>
  <si>
    <t xml:space="preserve">unitless (scale varies by software)</t>
  </si>
  <si>
    <t xml:space="preserve">63.1 (mAb dominant species)</t>
  </si>
  <si>
    <t xml:space="preserve">Confidence Score; Fit Score; Quality Score</t>
  </si>
  <si>
    <t xml:space="preserve">Not required for DAR calculation today; retain in source data as a future QC filter candidate (see Standardization Checklist).</t>
  </si>
  <si>
    <t xml:space="preserve">Proposed</t>
  </si>
  <si>
    <t xml:space="preserve">Number of Charge States</t>
  </si>
  <si>
    <t xml:space="preserve">No</t>
  </si>
  <si>
    <t xml:space="preserve">Count of distinct charge-state peaks combined during deconvolution to produce this neutral mass.</t>
  </si>
  <si>
    <t xml:space="preserve">count</t>
  </si>
  <si>
    <t xml:space="preserve">14 (mAb dominant species)</t>
  </si>
  <si>
    <t xml:space="preserve"># Charge States; Charge State Count</t>
  </si>
  <si>
    <t xml:space="preserve">Not currently used.</t>
  </si>
  <si>
    <t xml:space="preserve">Charge State Distribution</t>
  </si>
  <si>
    <t xml:space="preserve">Range of charge states observed contributing to the deconvoluted mass.</t>
  </si>
  <si>
    <t xml:space="preserve">text range</t>
  </si>
  <si>
    <t xml:space="preserve">"23 - 36"</t>
  </si>
  <si>
    <t xml:space="preserve">Charge Range; z Range</t>
  </si>
  <si>
    <t xml:space="preserve">Number of Detected Intervals</t>
  </si>
  <si>
    <t xml:space="preserve">Count of individual isotope/charge peaks detected and used in the deconvolution fit.</t>
  </si>
  <si>
    <t xml:space="preserve">17</t>
  </si>
  <si>
    <t xml:space="preserve">Detected Intervals; Peak Count</t>
  </si>
  <si>
    <t xml:space="preserve">Delta Mass (source file column)</t>
  </si>
  <si>
    <t xml:space="preserve">No — potential naming collision, see guidance</t>
  </si>
  <si>
    <t xml:space="preserve">As exported by the source software: mass difference of this species vs. the file's own most abundant species (e.g. to flag a glycoform offset). NOT the same as DAR Compass's own computed ppm_error (Sheet 3) which compares observed vs. theoretical mass.</t>
  </si>
  <si>
    <t xml:space="preserve">0 (base peak itself); 127.01 (a +127 Da glycoform offset)</t>
  </si>
  <si>
    <t xml:space="preserve">Delta Mass; Mass Offset; Δ Mass</t>
  </si>
  <si>
    <t xml:space="preserve">Rename to "Source Delta Mass (vs. base peak)" on import to avoid confusion with DAR Compass's own computed ppm_error.</t>
  </si>
  <si>
    <t xml:space="preserve">Scan Range / Start Time (min) / Stop Time (min) / Apex RT</t>
  </si>
  <si>
    <t xml:space="preserve">Chromatographic scan window and apex retention time supporting the deconvoluted species.</t>
  </si>
  <si>
    <t xml:space="preserve">min (RT); scan index (Scan Range)</t>
  </si>
  <si>
    <t xml:space="preserve">Start 0.58 min / Stop 1.34 min / Apex RT 0.84 min</t>
  </si>
  <si>
    <t xml:space="preserve">RT Range; Retention Time; Apex Time</t>
  </si>
  <si>
    <t xml:space="preserve">Not used in DAR calculation today; retained as a candidate for future QC (e.g. confirming a species elutes where expected rather than being a co-eluting artifact).</t>
  </si>
  <si>
    <t xml:space="preserve">Parameter Name</t>
  </si>
  <si>
    <t xml:space="preserve">UI Location</t>
  </si>
  <si>
    <t xml:space="preserve">Data Type</t>
  </si>
  <si>
    <t xml:space="preserve">Default Value</t>
  </si>
  <si>
    <t xml:space="preserve">Valid Range / Options</t>
  </si>
  <si>
    <t xml:space="preserve">Formula / Logic</t>
  </si>
  <si>
    <t xml:space="preserve">Linker-Payload Label</t>
  </si>
  <si>
    <t xml:space="preserve">Sidebar §2 → "Label"</t>
  </si>
  <si>
    <t xml:space="preserve">Short user-defined tag identifying one linker-payload chemistry (e.g. "4", "12", "DXd"). Used to build species names (e.g. "2[4]-8[12]") and internal column names (n_&lt;label&gt;).</t>
  </si>
  <si>
    <t xml:space="preserve">Short text</t>
  </si>
  <si>
    <t xml:space="preserve">"1", "2", ... (sequential)</t>
  </si>
  <si>
    <t xml:space="preserve">Must be unique across chemistries in one run</t>
  </si>
  <si>
    <t xml:space="preserve">Identifier only — not used in calculations directly.</t>
  </si>
  <si>
    <t xml:space="preserve">Confirmed</t>
  </si>
  <si>
    <t xml:space="preserve">Linker-Payload MW (Da)</t>
  </si>
  <si>
    <t xml:space="preserve">Sidebar §2 → "Linker-payload MW (Da)"</t>
  </si>
  <si>
    <t xml:space="preserve">Mass added to the antibody per single conjugation event of this chemistry (the linker+payload conjugate's mass as attached, after any mass change from the conjugation reaction).</t>
  </si>
  <si>
    <t xml:space="preserve">Decimal (Da)</t>
  </si>
  <si>
    <t xml:space="preserve">1717.83 (validated reference value, chemistry "12")</t>
  </si>
  <si>
    <t xml:space="preserve">&gt;= 0</t>
  </si>
  <si>
    <t xml:space="preserve">Used directly in Theoretical Mass formula (Sheet 3). Must use the same mass convention (average vs. monoisotopic) as the Average Mass input column.</t>
  </si>
  <si>
    <t xml:space="preserve">Max Conjugation Count</t>
  </si>
  <si>
    <t xml:space="preserve">Sidebar §2 → "Max conjugation count"</t>
  </si>
  <si>
    <t xml:space="preserve">Highest number of this payload type to consider per antibody — sets the upper bound of the theoretical combinatorial grid.</t>
  </si>
  <si>
    <t xml:space="preserve">Integer</t>
  </si>
  <si>
    <t xml:space="preserve">8</t>
  </si>
  <si>
    <t xml:space="preserve">0-20</t>
  </si>
  <si>
    <t xml:space="preserve">Defines n_i range in Theoretical Mass formula (Sheet 3).</t>
  </si>
  <si>
    <t xml:space="preserve">Allowed Count Step</t>
  </si>
  <si>
    <t xml:space="preserve">Sidebar §2 → "Allowed count step"</t>
  </si>
  <si>
    <t xml:space="preserve">Whether payload count increments by 1 or 2. Use 2 when conjugation is constrained to pairs (e.g. per reduced interchain disulfide).</t>
  </si>
  <si>
    <t xml:space="preserve">Integer (1 or 2)</t>
  </si>
  <si>
    <t xml:space="preserve">1</t>
  </si>
  <si>
    <t xml:space="preserve">{1, 2}</t>
  </si>
  <si>
    <t xml:space="preserve">Defines the step of n_i in the theoretical combinatorial grid.</t>
  </si>
  <si>
    <t xml:space="preserve">ADC Fractional Abundance Threshold (%)</t>
  </si>
  <si>
    <t xml:space="preserve">Sidebar §3</t>
  </si>
  <si>
    <t xml:space="preserve">Minimum Fractional Abundance (Sheet 1) an ADC peak must have to be treated as a candidate species, applied before mass matching.</t>
  </si>
  <si>
    <t xml:space="preserve">Decimal (%)</t>
  </si>
  <si>
    <t xml:space="preserve">0.00 (no filtering)</t>
  </si>
  <si>
    <t xml:space="preserve">0-100</t>
  </si>
  <si>
    <t xml:space="preserve">candidate_peaks = ADC_peaks WHERE Fractional Abundance &gt;= threshold</t>
  </si>
  <si>
    <t xml:space="preserve">Mass Accuracy Tolerance (ppm)</t>
  </si>
  <si>
    <t xml:space="preserve">Sidebar §4</t>
  </si>
  <si>
    <t xml:space="preserve">Maximum allowed mass error between an observed candidate peak and its nearest theoretical species for a match to be accepted.</t>
  </si>
  <si>
    <t xml:space="preserve">Integer (ppm)</t>
  </si>
  <si>
    <t xml:space="preserve">300</t>
  </si>
  <si>
    <t xml:space="preserve">10-500 (validated ~250-350 ppm for ~150-165 kDa intact species — re-validate per instrument/method)</t>
  </si>
  <si>
    <t xml:space="preserve">Keep match if ppm_error &lt;= tolerance (ppm_error defined in Sheet 3).</t>
  </si>
  <si>
    <t xml:space="preserve">mAb Base Mass Mode</t>
  </si>
  <si>
    <t xml:space="preserve">Sidebar §4 → "mAb base mass(es) to use"</t>
  </si>
  <si>
    <t xml:space="preserve">How many of the mAb reference file's own observed masses (ranked by Fractional Abundance) are used as the starting point(s) of the theoretical mass ladder.</t>
  </si>
  <si>
    <t xml:space="preserve">Choice + integer N</t>
  </si>
  <si>
    <t xml:space="preserve">"Most abundant only" (N=1)</t>
  </si>
  <si>
    <t xml:space="preserve">N = 1-10 if "Top N" mode chosen</t>
  </si>
  <si>
    <t xml:space="preserve">Selects Base Mass(es) (Sheet 3) from the mAb file.</t>
  </si>
  <si>
    <t xml:space="preserve">Formula</t>
  </si>
  <si>
    <t xml:space="preserve">Depends On (Inputs)</t>
  </si>
  <si>
    <t xml:space="preserve">Base Mass</t>
  </si>
  <si>
    <t xml:space="preserve">The mAb reference mass(es) selected to anchor the theoretical mass ladder.</t>
  </si>
  <si>
    <t xml:space="preserve">Top N "Average Mass" values from the mAb file, ranked by "Fractional Abundance" descending.</t>
  </si>
  <si>
    <t xml:space="preserve">mAb file: Average Mass, Fractional Abundance; mAb Base Mass Mode</t>
  </si>
  <si>
    <t xml:space="preserve">Theoretical Mass</t>
  </si>
  <si>
    <t xml:space="preserve">The predicted intact mass of one specific conjugation species.</t>
  </si>
  <si>
    <t xml:space="preserve">Theoretical Mass = Base Mass + Σ (nᵢ × MWᵢ) over all configured chemistries</t>
  </si>
  <si>
    <t xml:space="preserve">Base Mass; Linker-Payload MW; Max Conjugation Count; Allowed Count Step (per chemistry)</t>
  </si>
  <si>
    <t xml:space="preserve">Species Label</t>
  </si>
  <si>
    <t xml:space="preserve">Human-readable name for a theoretical species, e.g. "2[4]-8[12]" = 2 copies of chemistry "4" + 8 copies of chemistry "12".</t>
  </si>
  <si>
    <t xml:space="preserve">Concatenation of "{nᵢ}[{labelᵢ}]" for each chemistry i, joined by "-"</t>
  </si>
  <si>
    <t xml:space="preserve">Theoretical Mass combination; Linker-Payload Label</t>
  </si>
  <si>
    <t xml:space="preserve">text</t>
  </si>
  <si>
    <t xml:space="preserve">ppm_error</t>
  </si>
  <si>
    <t xml:space="preserve">Mass accuracy of a matched observed peak against its assigned theoretical species.</t>
  </si>
  <si>
    <t xml:space="preserve">ppm_error = |Average Mass(observed) − Theoretical Mass| ÷ Theoretical Mass × 1,000,000</t>
  </si>
  <si>
    <t xml:space="preserve">Average Mass (observed, ADC file); Theoretical Mass</t>
  </si>
  <si>
    <t xml:space="preserve">ppm</t>
  </si>
  <si>
    <t xml:space="preserve">Ambiguous (flag)</t>
  </si>
  <si>
    <t xml:space="preserve">TRUE if a second theoretical species with a DIFFERENT label also falls within the ppm tolerance for the same observed peak — signals the match should be reviewed rather than trusted automatically.</t>
  </si>
  <si>
    <t xml:space="preserve">TRUE if any candidate with ppm_error &lt;= tolerance has a label different from the best match, else FALSE</t>
  </si>
  <si>
    <t xml:space="preserve">ppm_error (all candidates); Mass Accuracy Tolerance</t>
  </si>
  <si>
    <t xml:space="preserve">boolean</t>
  </si>
  <si>
    <t xml:space="preserve">Runner-Up Species / Runner-Up ppm_error</t>
  </si>
  <si>
    <t xml:space="preserve">The next-closest alternative theoretical species (and its ppm error) when Ambiguous = TRUE.</t>
  </si>
  <si>
    <t xml:space="preserve">2nd-lowest ppm_error candidate with a label different from the best match</t>
  </si>
  <si>
    <t xml:space="preserve">Same as Ambiguous (flag)</t>
  </si>
  <si>
    <t xml:space="preserve">text / ppm</t>
  </si>
  <si>
    <t xml:space="preserve">Relative Abundance (post-match, calculated)</t>
  </si>
  <si>
    <t xml:space="preserve">Contribution of one matched species' intensity to the total intensity of ALL matched species in that run. NOTE: not the same as the raw file's "Relative Abundance" or "Fractional Abundance" columns (Sheet 1) — this is recalculated only over the matched/candidate subset for this specific run.</t>
  </si>
  <si>
    <t xml:space="preserve">Relative Abundance = Sum Intensity(species) ÷ Σ Sum Intensity(all matched species in this run)</t>
  </si>
  <si>
    <t xml:space="preserve">Sum Intensity (matched species only)</t>
  </si>
  <si>
    <t xml:space="preserve">fraction (shown as % in app)</t>
  </si>
  <si>
    <t xml:space="preserve">n_&lt;payload label&gt; (e.g. n_4, n_12)</t>
  </si>
  <si>
    <t xml:space="preserve">The conjugation count of a specific payload chemistry associated with a matched species.</t>
  </si>
  <si>
    <t xml:space="preserve">Taken directly from the combination that generated the Theoretical Mass for that species.</t>
  </si>
  <si>
    <t xml:space="preserve">Theoretical Mass combination</t>
  </si>
  <si>
    <t xml:space="preserve">count (integer)</t>
  </si>
  <si>
    <t xml:space="preserve">DAR Contribution (per species, per payload)</t>
  </si>
  <si>
    <t xml:space="preserve">One matched species' weighted contribution to the average DAR for one payload chemistry.</t>
  </si>
  <si>
    <t xml:space="preserve">DAR Contribution = Relative Abundance(species) × n_&lt;label&gt;(species)</t>
  </si>
  <si>
    <t xml:space="preserve">Relative Abundance; n_&lt;label&gt;</t>
  </si>
  <si>
    <t xml:space="preserve">unitless</t>
  </si>
  <si>
    <t xml:space="preserve">DAR [payload label]</t>
  </si>
  <si>
    <t xml:space="preserve">Intensity-weighted average number of that payload chemistry per antibody, across all matched species.</t>
  </si>
  <si>
    <t xml:space="preserve">DAR[label] = Σ over all matched species of DAR Contribution(species, label)</t>
  </si>
  <si>
    <t xml:space="preserve">DAR Contribution (all matched species)</t>
  </si>
  <si>
    <t xml:space="preserve">unitless (payload count)</t>
  </si>
  <si>
    <t xml:space="preserve">Total DAR</t>
  </si>
  <si>
    <t xml:space="preserve">Overall average total payload load per antibody, summed across all configured chemistries.</t>
  </si>
  <si>
    <t xml:space="preserve">Total DAR = Σ over all payload labels of DAR[label]</t>
  </si>
  <si>
    <t xml:space="preserve">DAR[label] (all chemistries)</t>
  </si>
  <si>
    <t xml:space="preserve">Step</t>
  </si>
  <si>
    <t xml:space="preserve">Action</t>
  </si>
  <si>
    <t xml:space="preserve">Why It Matters</t>
  </si>
  <si>
    <t xml:space="preserve">Confirm mass convention (average vs. monoisotopic) matches across the mAb file, the ADC file, and every configured Linker-Payload MW.</t>
  </si>
  <si>
    <t xml:space="preserve">Mixing mass conventions silently breaks matching — there's no error message, just DAR numbers that are quietly wrong.</t>
  </si>
  <si>
    <t xml:space="preserve">Rename source columns to DAR Compass's canonical names (Average Mass, Sum Intensity, Fractional Abundance) per Sheet 1's alias mapping.</t>
  </si>
  <si>
    <t xml:space="preserve">dar_calculator.py currently matches on exact column names.</t>
  </si>
  <si>
    <t xml:space="preserve">Verify Fractional Abundance's denominator (whole-file vs. per-cluster) before relying on the ADC abundance threshold filter.</t>
  </si>
  <si>
    <t xml:space="preserve">Two different vendors' "% abundance" columns may not be comparable even when named identically.</t>
  </si>
  <si>
    <t xml:space="preserve">Re-derive each Linker-Payload MW using the mass convention confirmed in Step 1, then re-validate the ppm tolerance against a known-good sample from the new source before trusting results.</t>
  </si>
  <si>
    <t xml:space="preserve">The current ~250-350 ppm tolerance was empirically validated only against the two datasets in this delivery — a new instrument/method may need a different value.</t>
  </si>
  <si>
    <t xml:space="preserve">If the source's own "Delta Mass" column is present, rename it (e.g. "Source Delta Mass") to avoid confusion with DAR Compass's own computed ppm_error.</t>
  </si>
  <si>
    <t xml:space="preserve">Naming collision risk — same name, different meaning (see Sheet 1).</t>
  </si>
  <si>
    <t xml:space="preserve">Once a new source format is validated, add it as a named alias entry in Sheet 1 rather than a one-off fix.</t>
  </si>
  <si>
    <t xml:space="preserve">Documents the mapping for the next file from that source instead of re-solving the same problem.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</si>
</sst>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1"/>
      <color rgb="FF5B6B7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  <fill>
      <patternFill patternType="solid">
        <fgColor rgb="FFCFE2F3"/>
        <bgColor rgb="FFD9EAD3"/>
      </patternFill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8" hidden="false" customHeight="true" outlineLevel="0" collapsed="false">
      <c r="A3" s="3"/>
    </row>
    <row r="4" customFormat="false" ht="18" hidden="false" customHeight="true" outlineLevel="0" collapsed="false">
      <c r="A4" s="4" t="s">
        <v>2</v>
      </c>
    </row>
    <row r="5" customFormat="false" ht="60" hidden="false" customHeight="true" outlineLevel="0" collapsed="false">
      <c r="A5" s="3" t="s">
        <v>3</v>
      </c>
    </row>
    <row r="6" customFormat="false" ht="18" hidden="false" customHeight="true" outlineLevel="0" collapsed="false">
      <c r="A6" s="3"/>
    </row>
    <row r="7" customFormat="false" ht="18" hidden="false" customHeight="true" outlineLevel="0" collapsed="false">
      <c r="A7" s="4" t="s">
        <v>4</v>
      </c>
    </row>
    <row r="8" customFormat="false" ht="43.5" hidden="false" customHeight="true" outlineLevel="0" collapsed="false">
      <c r="A8" s="3" t="s">
        <v>5</v>
      </c>
    </row>
    <row r="9" customFormat="false" ht="43.5" hidden="false" customHeight="true" outlineLevel="0" collapsed="false">
      <c r="A9" s="3" t="s">
        <v>6</v>
      </c>
    </row>
    <row r="10" customFormat="false" ht="43.5" hidden="false" customHeight="true" outlineLevel="0" collapsed="false">
      <c r="A10" s="3" t="s">
        <v>7</v>
      </c>
    </row>
    <row r="11" customFormat="false" ht="60" hidden="false" customHeight="true" outlineLevel="0" collapsed="false">
      <c r="A11" s="3" t="s">
        <v>8</v>
      </c>
    </row>
    <row r="12" customFormat="false" ht="60" hidden="false" customHeight="true" outlineLevel="0" collapsed="false">
      <c r="A12" s="3" t="s">
        <v>9</v>
      </c>
    </row>
    <row r="13" customFormat="false" ht="60" hidden="false" customHeight="true" outlineLevel="0" collapsed="false">
      <c r="A13" s="3" t="s">
        <v>10</v>
      </c>
    </row>
    <row r="14" customFormat="false" ht="43.5" hidden="false" customHeight="true" outlineLevel="0" collapsed="false">
      <c r="A14" s="3" t="s">
        <v>11</v>
      </c>
    </row>
    <row r="15" customFormat="false" ht="18" hidden="false" customHeight="true" outlineLevel="0" collapsed="false">
      <c r="A15" s="3"/>
    </row>
    <row r="16" customFormat="false" ht="18" hidden="false" customHeight="true" outlineLevel="0" collapsed="false">
      <c r="A16" s="4" t="s">
        <v>12</v>
      </c>
    </row>
    <row r="17" customFormat="false" ht="60" hidden="false" customHeight="true" outlineLevel="0" collapsed="false">
      <c r="A17" s="3" t="s">
        <v>13</v>
      </c>
    </row>
    <row r="19" customFormat="false" ht="15" hidden="false" customHeight="false" outlineLevel="0" collapsed="false">
      <c r="A19" s="5" t="s">
        <v>14</v>
      </c>
    </row>
    <row r="20" customFormat="false" ht="15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7" t="s">
        <v>16</v>
      </c>
    </row>
    <row r="22" customFormat="false" ht="15" hidden="false" customHeight="false" outlineLevel="0" collapsed="false">
      <c r="A22" s="8" t="s">
        <v>17</v>
      </c>
    </row>
    <row r="24" customFormat="false" ht="15" hidden="false" customHeight="false" outlineLevel="0" collapsed="false">
      <c r="A24" s="5" t="s">
        <v>18</v>
      </c>
    </row>
    <row r="25" customFormat="false" ht="15" hidden="false" customHeight="false" outlineLevel="0" collapsed="false">
      <c r="A25" s="9" t="str">
        <f aca="false">"Confirmed: " &amp; (COUNTIF('1. Input File Columns'!$I:$I,"Confirmed") + COUNTIF('2. App Config Parameters'!$H:$H,"Confirmed") + COUNTIF('3. Calculated Parameters'!$F:$F,"Confirmed"))</f>
        <v>Confirmed: 18</v>
      </c>
    </row>
    <row r="26" customFormat="false" ht="15" hidden="false" customHeight="false" outlineLevel="0" collapsed="false">
      <c r="A26" s="9" t="str">
        <f aca="false">"Needs Review: " &amp; (COUNTIF('1. Input File Columns'!$I:$I,"Needs Review") + COUNTIF('2. App Config Parameters'!$H:$H,"Needs Review") + COUNTIF('3. Calculated Parameters'!$F:$F,"Needs Review"))</f>
        <v>Needs Review: 5</v>
      </c>
    </row>
    <row r="27" customFormat="false" ht="15" hidden="false" customHeight="false" outlineLevel="0" collapsed="false">
      <c r="A27" s="9" t="str">
        <f aca="false">"Proposed: " &amp; (COUNTIF('1. Input File Columns'!$I:$I,"Proposed") + COUNTIF('2. App Config Parameters'!$H:$H,"Proposed") + COUNTIF('3. Calculated Parameters'!$F:$F,"Proposed"))</f>
        <v>Proposed: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</row>
    <row r="2" customFormat="false" ht="60" hidden="false" customHeight="true" outlineLevel="0" collapsed="false">
      <c r="A2" s="11" t="s">
        <v>28</v>
      </c>
      <c r="B2" s="11" t="s">
        <v>29</v>
      </c>
      <c r="C2" s="11" t="s">
        <v>30</v>
      </c>
      <c r="D2" s="11" t="s">
        <v>31</v>
      </c>
      <c r="E2" s="12" t="s">
        <v>32</v>
      </c>
      <c r="F2" s="11" t="s">
        <v>33</v>
      </c>
      <c r="G2" s="11" t="s">
        <v>34</v>
      </c>
      <c r="H2" s="11" t="s">
        <v>35</v>
      </c>
      <c r="I2" s="13" t="s">
        <v>36</v>
      </c>
    </row>
    <row r="3" customFormat="false" ht="60" hidden="false" customHeight="true" outlineLevel="0" collapsed="false">
      <c r="A3" s="11" t="s">
        <v>37</v>
      </c>
      <c r="B3" s="11" t="s">
        <v>38</v>
      </c>
      <c r="C3" s="11" t="s">
        <v>39</v>
      </c>
      <c r="D3" s="11" t="s">
        <v>40</v>
      </c>
      <c r="E3" s="12" t="s">
        <v>41</v>
      </c>
      <c r="F3" s="11" t="s">
        <v>42</v>
      </c>
      <c r="G3" s="11" t="s">
        <v>43</v>
      </c>
      <c r="H3" s="11" t="s">
        <v>44</v>
      </c>
      <c r="I3" s="13" t="s">
        <v>36</v>
      </c>
    </row>
    <row r="4" customFormat="false" ht="60" hidden="false" customHeight="true" outlineLevel="0" collapsed="false">
      <c r="A4" s="11" t="s">
        <v>45</v>
      </c>
      <c r="B4" s="11" t="s">
        <v>46</v>
      </c>
      <c r="C4" s="11" t="s">
        <v>47</v>
      </c>
      <c r="D4" s="11" t="s">
        <v>48</v>
      </c>
      <c r="E4" s="12" t="s">
        <v>49</v>
      </c>
      <c r="F4" s="11" t="s">
        <v>50</v>
      </c>
      <c r="G4" s="11" t="s">
        <v>51</v>
      </c>
      <c r="H4" s="11" t="s">
        <v>52</v>
      </c>
      <c r="I4" s="13" t="s">
        <v>36</v>
      </c>
    </row>
    <row r="5" customFormat="false" ht="60" hidden="false" customHeight="true" outlineLevel="0" collapsed="false">
      <c r="A5" s="11" t="s">
        <v>53</v>
      </c>
      <c r="B5" s="11" t="s">
        <v>54</v>
      </c>
      <c r="C5" s="11" t="s">
        <v>55</v>
      </c>
      <c r="D5" s="11" t="s">
        <v>56</v>
      </c>
      <c r="E5" s="12" t="s">
        <v>49</v>
      </c>
      <c r="F5" s="11" t="s">
        <v>57</v>
      </c>
      <c r="G5" s="11" t="s">
        <v>58</v>
      </c>
      <c r="H5" s="11" t="s">
        <v>59</v>
      </c>
      <c r="I5" s="13" t="s">
        <v>36</v>
      </c>
    </row>
    <row r="6" customFormat="false" ht="60" hidden="false" customHeight="true" outlineLevel="0" collapsed="false">
      <c r="A6" s="11" t="s">
        <v>60</v>
      </c>
      <c r="B6" s="11" t="s">
        <v>38</v>
      </c>
      <c r="C6" s="11" t="s">
        <v>61</v>
      </c>
      <c r="D6" s="11" t="s">
        <v>62</v>
      </c>
      <c r="E6" s="12" t="s">
        <v>63</v>
      </c>
      <c r="F6" s="11" t="s">
        <v>64</v>
      </c>
      <c r="G6" s="11" t="s">
        <v>65</v>
      </c>
      <c r="H6" s="11" t="s">
        <v>66</v>
      </c>
      <c r="I6" s="14" t="s">
        <v>67</v>
      </c>
    </row>
    <row r="7" customFormat="false" ht="60" hidden="false" customHeight="true" outlineLevel="0" collapsed="false">
      <c r="A7" s="11" t="s">
        <v>68</v>
      </c>
      <c r="B7" s="11" t="s">
        <v>38</v>
      </c>
      <c r="C7" s="11" t="s">
        <v>69</v>
      </c>
      <c r="D7" s="11" t="s">
        <v>70</v>
      </c>
      <c r="E7" s="12" t="s">
        <v>71</v>
      </c>
      <c r="F7" s="11" t="s">
        <v>72</v>
      </c>
      <c r="G7" s="11" t="s">
        <v>73</v>
      </c>
      <c r="H7" s="11" t="s">
        <v>74</v>
      </c>
      <c r="I7" s="14" t="s">
        <v>67</v>
      </c>
    </row>
    <row r="8" customFormat="false" ht="60" hidden="false" customHeight="true" outlineLevel="0" collapsed="false">
      <c r="A8" s="11" t="s">
        <v>75</v>
      </c>
      <c r="B8" s="11" t="s">
        <v>38</v>
      </c>
      <c r="C8" s="11" t="s">
        <v>69</v>
      </c>
      <c r="D8" s="11" t="s">
        <v>76</v>
      </c>
      <c r="E8" s="12" t="s">
        <v>77</v>
      </c>
      <c r="F8" s="11" t="s">
        <v>78</v>
      </c>
      <c r="G8" s="11" t="s">
        <v>79</v>
      </c>
      <c r="H8" s="11" t="s">
        <v>74</v>
      </c>
      <c r="I8" s="14" t="s">
        <v>67</v>
      </c>
    </row>
    <row r="9" customFormat="false" ht="60" hidden="false" customHeight="true" outlineLevel="0" collapsed="false">
      <c r="A9" s="11" t="s">
        <v>80</v>
      </c>
      <c r="B9" s="11" t="s">
        <v>38</v>
      </c>
      <c r="C9" s="11" t="s">
        <v>69</v>
      </c>
      <c r="D9" s="11" t="s">
        <v>81</v>
      </c>
      <c r="E9" s="12" t="s">
        <v>71</v>
      </c>
      <c r="F9" s="11" t="s">
        <v>82</v>
      </c>
      <c r="G9" s="11" t="s">
        <v>83</v>
      </c>
      <c r="H9" s="11" t="s">
        <v>74</v>
      </c>
      <c r="I9" s="14" t="s">
        <v>67</v>
      </c>
    </row>
    <row r="10" customFormat="false" ht="60" hidden="false" customHeight="true" outlineLevel="0" collapsed="false">
      <c r="A10" s="11" t="s">
        <v>84</v>
      </c>
      <c r="B10" s="11" t="s">
        <v>38</v>
      </c>
      <c r="C10" s="11" t="s">
        <v>85</v>
      </c>
      <c r="D10" s="11" t="s">
        <v>86</v>
      </c>
      <c r="E10" s="12" t="s">
        <v>32</v>
      </c>
      <c r="F10" s="11" t="s">
        <v>87</v>
      </c>
      <c r="G10" s="11" t="s">
        <v>88</v>
      </c>
      <c r="H10" s="11" t="s">
        <v>89</v>
      </c>
      <c r="I10" s="13" t="s">
        <v>36</v>
      </c>
    </row>
    <row r="11" customFormat="false" ht="60" hidden="false" customHeight="true" outlineLevel="0" collapsed="false">
      <c r="A11" s="11" t="s">
        <v>90</v>
      </c>
      <c r="B11" s="11" t="s">
        <v>38</v>
      </c>
      <c r="C11" s="11" t="s">
        <v>69</v>
      </c>
      <c r="D11" s="11" t="s">
        <v>91</v>
      </c>
      <c r="E11" s="12" t="s">
        <v>92</v>
      </c>
      <c r="F11" s="11" t="s">
        <v>93</v>
      </c>
      <c r="G11" s="11" t="s">
        <v>94</v>
      </c>
      <c r="H11" s="11" t="s">
        <v>95</v>
      </c>
      <c r="I11" s="14" t="s">
        <v>67</v>
      </c>
    </row>
  </sheetData>
  <dataValidations count="1">
    <dataValidation allowBlank="true" error="Please choose one of: Confirmed, Needs Review, Proposed" errorStyle="stop" errorTitle="Invalid entry" operator="between" showDropDown="false" showErrorMessage="false" showInputMessage="false" sqref="I2:I11" type="list">
      <formula1>"Confirmed,Needs Review,Proposed"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0" t="s">
        <v>96</v>
      </c>
      <c r="B1" s="10" t="s">
        <v>97</v>
      </c>
      <c r="C1" s="10" t="s">
        <v>22</v>
      </c>
      <c r="D1" s="10" t="s">
        <v>98</v>
      </c>
      <c r="E1" s="10" t="s">
        <v>99</v>
      </c>
      <c r="F1" s="10" t="s">
        <v>100</v>
      </c>
      <c r="G1" s="10" t="s">
        <v>101</v>
      </c>
      <c r="H1" s="10" t="s">
        <v>27</v>
      </c>
    </row>
    <row r="2" customFormat="false" ht="60" hidden="false" customHeight="true" outlineLevel="0" collapsed="false">
      <c r="A2" s="11" t="s">
        <v>102</v>
      </c>
      <c r="B2" s="11" t="s">
        <v>103</v>
      </c>
      <c r="C2" s="11" t="s">
        <v>104</v>
      </c>
      <c r="D2" s="12" t="s">
        <v>105</v>
      </c>
      <c r="E2" s="11" t="s">
        <v>106</v>
      </c>
      <c r="F2" s="11" t="s">
        <v>107</v>
      </c>
      <c r="G2" s="11" t="s">
        <v>108</v>
      </c>
      <c r="H2" s="15" t="s">
        <v>109</v>
      </c>
    </row>
    <row r="3" customFormat="false" ht="60" hidden="false" customHeight="true" outlineLevel="0" collapsed="false">
      <c r="A3" s="11" t="s">
        <v>110</v>
      </c>
      <c r="B3" s="11" t="s">
        <v>111</v>
      </c>
      <c r="C3" s="11" t="s">
        <v>112</v>
      </c>
      <c r="D3" s="12" t="s">
        <v>113</v>
      </c>
      <c r="E3" s="11" t="s">
        <v>114</v>
      </c>
      <c r="F3" s="11" t="s">
        <v>115</v>
      </c>
      <c r="G3" s="11" t="s">
        <v>116</v>
      </c>
      <c r="H3" s="15" t="s">
        <v>109</v>
      </c>
    </row>
    <row r="4" customFormat="false" ht="60" hidden="false" customHeight="true" outlineLevel="0" collapsed="false">
      <c r="A4" s="11" t="s">
        <v>117</v>
      </c>
      <c r="B4" s="11" t="s">
        <v>118</v>
      </c>
      <c r="C4" s="11" t="s">
        <v>119</v>
      </c>
      <c r="D4" s="12" t="s">
        <v>120</v>
      </c>
      <c r="E4" s="11" t="s">
        <v>121</v>
      </c>
      <c r="F4" s="11" t="s">
        <v>122</v>
      </c>
      <c r="G4" s="11" t="s">
        <v>123</v>
      </c>
      <c r="H4" s="15" t="s">
        <v>109</v>
      </c>
    </row>
    <row r="5" customFormat="false" ht="60" hidden="false" customHeight="true" outlineLevel="0" collapsed="false">
      <c r="A5" s="11" t="s">
        <v>124</v>
      </c>
      <c r="B5" s="11" t="s">
        <v>125</v>
      </c>
      <c r="C5" s="11" t="s">
        <v>126</v>
      </c>
      <c r="D5" s="12" t="s">
        <v>127</v>
      </c>
      <c r="E5" s="11" t="s">
        <v>128</v>
      </c>
      <c r="F5" s="11" t="s">
        <v>129</v>
      </c>
      <c r="G5" s="11" t="s">
        <v>130</v>
      </c>
      <c r="H5" s="15" t="s">
        <v>109</v>
      </c>
    </row>
    <row r="6" customFormat="false" ht="60" hidden="false" customHeight="true" outlineLevel="0" collapsed="false">
      <c r="A6" s="11" t="s">
        <v>131</v>
      </c>
      <c r="B6" s="11" t="s">
        <v>132</v>
      </c>
      <c r="C6" s="11" t="s">
        <v>133</v>
      </c>
      <c r="D6" s="12" t="s">
        <v>134</v>
      </c>
      <c r="E6" s="11" t="s">
        <v>135</v>
      </c>
      <c r="F6" s="11" t="s">
        <v>136</v>
      </c>
      <c r="G6" s="11" t="s">
        <v>137</v>
      </c>
      <c r="H6" s="15" t="s">
        <v>109</v>
      </c>
    </row>
    <row r="7" customFormat="false" ht="60" hidden="false" customHeight="true" outlineLevel="0" collapsed="false">
      <c r="A7" s="11" t="s">
        <v>138</v>
      </c>
      <c r="B7" s="11" t="s">
        <v>139</v>
      </c>
      <c r="C7" s="11" t="s">
        <v>140</v>
      </c>
      <c r="D7" s="12" t="s">
        <v>141</v>
      </c>
      <c r="E7" s="11" t="s">
        <v>142</v>
      </c>
      <c r="F7" s="11" t="s">
        <v>143</v>
      </c>
      <c r="G7" s="11" t="s">
        <v>144</v>
      </c>
      <c r="H7" s="15" t="s">
        <v>109</v>
      </c>
    </row>
    <row r="8" customFormat="false" ht="60" hidden="false" customHeight="true" outlineLevel="0" collapsed="false">
      <c r="A8" s="11" t="s">
        <v>145</v>
      </c>
      <c r="B8" s="11" t="s">
        <v>146</v>
      </c>
      <c r="C8" s="11" t="s">
        <v>147</v>
      </c>
      <c r="D8" s="12" t="s">
        <v>148</v>
      </c>
      <c r="E8" s="11" t="s">
        <v>149</v>
      </c>
      <c r="F8" s="11" t="s">
        <v>150</v>
      </c>
      <c r="G8" s="11" t="s">
        <v>151</v>
      </c>
      <c r="H8" s="15" t="s">
        <v>109</v>
      </c>
    </row>
  </sheetData>
  <dataValidations count="1">
    <dataValidation allowBlank="true" error="Please choose one of: Confirmed, Needs Review, Proposed" errorStyle="stop" errorTitle="Invalid entry" operator="between" showDropDown="false" showErrorMessage="false" showInputMessage="false" sqref="H2:H8" type="list">
      <formula1>"Confirmed,Needs Review,Proposed"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0" t="s">
        <v>96</v>
      </c>
      <c r="B1" s="10" t="s">
        <v>22</v>
      </c>
      <c r="C1" s="10" t="s">
        <v>152</v>
      </c>
      <c r="D1" s="10" t="s">
        <v>153</v>
      </c>
      <c r="E1" s="10" t="s">
        <v>23</v>
      </c>
      <c r="F1" s="10" t="s">
        <v>27</v>
      </c>
    </row>
    <row r="2" customFormat="false" ht="60" hidden="false" customHeight="true" outlineLevel="0" collapsed="false">
      <c r="A2" s="11" t="s">
        <v>154</v>
      </c>
      <c r="B2" s="11" t="s">
        <v>155</v>
      </c>
      <c r="C2" s="11" t="s">
        <v>156</v>
      </c>
      <c r="D2" s="11" t="s">
        <v>157</v>
      </c>
      <c r="E2" s="12" t="s">
        <v>32</v>
      </c>
      <c r="F2" s="15" t="s">
        <v>109</v>
      </c>
    </row>
    <row r="3" customFormat="false" ht="60" hidden="false" customHeight="true" outlineLevel="0" collapsed="false">
      <c r="A3" s="11" t="s">
        <v>158</v>
      </c>
      <c r="B3" s="11" t="s">
        <v>159</v>
      </c>
      <c r="C3" s="11" t="s">
        <v>160</v>
      </c>
      <c r="D3" s="11" t="s">
        <v>161</v>
      </c>
      <c r="E3" s="12" t="s">
        <v>32</v>
      </c>
      <c r="F3" s="15" t="s">
        <v>109</v>
      </c>
    </row>
    <row r="4" customFormat="false" ht="60" hidden="false" customHeight="true" outlineLevel="0" collapsed="false">
      <c r="A4" s="11" t="s">
        <v>162</v>
      </c>
      <c r="B4" s="11" t="s">
        <v>163</v>
      </c>
      <c r="C4" s="11" t="s">
        <v>164</v>
      </c>
      <c r="D4" s="11" t="s">
        <v>165</v>
      </c>
      <c r="E4" s="12" t="s">
        <v>166</v>
      </c>
      <c r="F4" s="15" t="s">
        <v>109</v>
      </c>
    </row>
    <row r="5" customFormat="false" ht="60" hidden="false" customHeight="true" outlineLevel="0" collapsed="false">
      <c r="A5" s="11" t="s">
        <v>167</v>
      </c>
      <c r="B5" s="11" t="s">
        <v>168</v>
      </c>
      <c r="C5" s="11" t="s">
        <v>169</v>
      </c>
      <c r="D5" s="11" t="s">
        <v>170</v>
      </c>
      <c r="E5" s="12" t="s">
        <v>171</v>
      </c>
      <c r="F5" s="15" t="s">
        <v>109</v>
      </c>
    </row>
    <row r="6" customFormat="false" ht="60" hidden="false" customHeight="true" outlineLevel="0" collapsed="false">
      <c r="A6" s="11" t="s">
        <v>172</v>
      </c>
      <c r="B6" s="11" t="s">
        <v>173</v>
      </c>
      <c r="C6" s="11" t="s">
        <v>174</v>
      </c>
      <c r="D6" s="11" t="s">
        <v>175</v>
      </c>
      <c r="E6" s="12" t="s">
        <v>176</v>
      </c>
      <c r="F6" s="15" t="s">
        <v>109</v>
      </c>
    </row>
    <row r="7" customFormat="false" ht="60" hidden="false" customHeight="true" outlineLevel="0" collapsed="false">
      <c r="A7" s="11" t="s">
        <v>177</v>
      </c>
      <c r="B7" s="11" t="s">
        <v>178</v>
      </c>
      <c r="C7" s="11" t="s">
        <v>179</v>
      </c>
      <c r="D7" s="11" t="s">
        <v>180</v>
      </c>
      <c r="E7" s="12" t="s">
        <v>181</v>
      </c>
      <c r="F7" s="15" t="s">
        <v>109</v>
      </c>
    </row>
    <row r="8" customFormat="false" ht="60" hidden="false" customHeight="true" outlineLevel="0" collapsed="false">
      <c r="A8" s="11" t="s">
        <v>182</v>
      </c>
      <c r="B8" s="11" t="s">
        <v>183</v>
      </c>
      <c r="C8" s="11" t="s">
        <v>184</v>
      </c>
      <c r="D8" s="11" t="s">
        <v>185</v>
      </c>
      <c r="E8" s="12" t="s">
        <v>186</v>
      </c>
      <c r="F8" s="15" t="s">
        <v>109</v>
      </c>
    </row>
    <row r="9" customFormat="false" ht="60" hidden="false" customHeight="true" outlineLevel="0" collapsed="false">
      <c r="A9" s="11" t="s">
        <v>187</v>
      </c>
      <c r="B9" s="11" t="s">
        <v>188</v>
      </c>
      <c r="C9" s="11" t="s">
        <v>189</v>
      </c>
      <c r="D9" s="11" t="s">
        <v>190</v>
      </c>
      <c r="E9" s="12" t="s">
        <v>191</v>
      </c>
      <c r="F9" s="15" t="s">
        <v>109</v>
      </c>
    </row>
    <row r="10" customFormat="false" ht="60" hidden="false" customHeight="true" outlineLevel="0" collapsed="false">
      <c r="A10" s="11" t="s">
        <v>192</v>
      </c>
      <c r="B10" s="11" t="s">
        <v>193</v>
      </c>
      <c r="C10" s="11" t="s">
        <v>194</v>
      </c>
      <c r="D10" s="11" t="s">
        <v>195</v>
      </c>
      <c r="E10" s="12" t="s">
        <v>196</v>
      </c>
      <c r="F10" s="15" t="s">
        <v>109</v>
      </c>
    </row>
    <row r="11" customFormat="false" ht="60" hidden="false" customHeight="true" outlineLevel="0" collapsed="false">
      <c r="A11" s="11" t="s">
        <v>197</v>
      </c>
      <c r="B11" s="11" t="s">
        <v>198</v>
      </c>
      <c r="C11" s="11" t="s">
        <v>199</v>
      </c>
      <c r="D11" s="11" t="s">
        <v>200</v>
      </c>
      <c r="E11" s="12" t="s">
        <v>201</v>
      </c>
      <c r="F11" s="15" t="s">
        <v>109</v>
      </c>
    </row>
    <row r="12" customFormat="false" ht="60" hidden="false" customHeight="true" outlineLevel="0" collapsed="false">
      <c r="A12" s="11" t="s">
        <v>202</v>
      </c>
      <c r="B12" s="11" t="s">
        <v>203</v>
      </c>
      <c r="C12" s="11" t="s">
        <v>204</v>
      </c>
      <c r="D12" s="11" t="s">
        <v>205</v>
      </c>
      <c r="E12" s="12" t="s">
        <v>201</v>
      </c>
      <c r="F12" s="15" t="s">
        <v>109</v>
      </c>
    </row>
  </sheetData>
  <dataValidations count="1">
    <dataValidation allowBlank="true" error="Please choose one of: Confirmed, Needs Review, Proposed" errorStyle="stop" errorTitle="Invalid entry" operator="between" showDropDown="false" showErrorMessage="false" showInputMessage="false" sqref="F2:F12" type="list">
      <formula1>"Confirmed,Needs Review,Proposed"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30" hidden="false" customHeight="true" outlineLevel="0" collapsed="false">
      <c r="A1" s="10" t="s">
        <v>206</v>
      </c>
      <c r="B1" s="10" t="s">
        <v>207</v>
      </c>
      <c r="C1" s="10" t="s">
        <v>208</v>
      </c>
    </row>
    <row r="2" customFormat="false" ht="45.75" hidden="false" customHeight="true" outlineLevel="0" collapsed="false">
      <c r="A2" s="12" t="n">
        <v>1</v>
      </c>
      <c r="B2" s="11" t="s">
        <v>209</v>
      </c>
      <c r="C2" s="11" t="s">
        <v>210</v>
      </c>
    </row>
    <row r="3" customFormat="false" ht="45.75" hidden="false" customHeight="true" outlineLevel="0" collapsed="false">
      <c r="A3" s="12" t="n">
        <v>2</v>
      </c>
      <c r="B3" s="11" t="s">
        <v>211</v>
      </c>
      <c r="C3" s="11" t="s">
        <v>212</v>
      </c>
    </row>
    <row r="4" customFormat="false" ht="45.75" hidden="false" customHeight="true" outlineLevel="0" collapsed="false">
      <c r="A4" s="12" t="n">
        <v>3</v>
      </c>
      <c r="B4" s="11" t="s">
        <v>213</v>
      </c>
      <c r="C4" s="11" t="s">
        <v>214</v>
      </c>
    </row>
    <row r="5" customFormat="false" ht="45.75" hidden="false" customHeight="true" outlineLevel="0" collapsed="false">
      <c r="A5" s="12" t="n">
        <v>4</v>
      </c>
      <c r="B5" s="11" t="s">
        <v>215</v>
      </c>
      <c r="C5" s="11" t="s">
        <v>216</v>
      </c>
    </row>
    <row r="6" customFormat="false" ht="45.75" hidden="false" customHeight="true" outlineLevel="0" collapsed="false">
      <c r="A6" s="12" t="n">
        <v>5</v>
      </c>
      <c r="B6" s="11" t="s">
        <v>217</v>
      </c>
      <c r="C6" s="11" t="s">
        <v>218</v>
      </c>
    </row>
    <row r="7" customFormat="false" ht="45.75" hidden="false" customHeight="true" outlineLevel="0" collapsed="false">
      <c r="A7" s="12" t="n">
        <v>6</v>
      </c>
      <c r="B7" s="11" t="s">
        <v>219</v>
      </c>
      <c r="C7" s="11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2026-08-20T01:25:47Z</dcterms:created>
  <dc:creator>openpyxl</dc:creator>
  <dc:description/>
  <dc:language>en-US</dc:language>
  <cp:lastModifiedBy/>
  <dcterms:modified xsi:type="dcterms:W3CDTF">2026-08-20T01:25:47Z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