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en.Hsia.ACEPODIABIO\Desktop\MS data\Thermo ACE090412\"/>
    </mc:Choice>
  </mc:AlternateContent>
  <xr:revisionPtr revIDLastSave="0" documentId="13_ncr:1_{CBA7179A-5283-42B2-8501-FEE7E60F65B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090412_P_DN" sheetId="1" r:id="rId1"/>
    <sheet name="DAR_A090412_P_DN" sheetId="2" r:id="rId2"/>
    <sheet name="A090512_P_DN" sheetId="4" r:id="rId3"/>
    <sheet name="DAR_A090512_P_DN" sheetId="5" r:id="rId4"/>
  </sheets>
  <definedNames>
    <definedName name="_xlnm._FilterDatabase" localSheetId="0" hidden="1">A090412_P_DN!$G$5:$M$156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E6" i="1" s="1"/>
  <c r="K13" i="5"/>
  <c r="N13" i="5" s="1"/>
  <c r="K13" i="2"/>
  <c r="N13" i="2"/>
  <c r="O13" i="2"/>
  <c r="K14" i="2"/>
  <c r="N14" i="2"/>
  <c r="O14" i="2"/>
  <c r="K15" i="2"/>
  <c r="N15" i="2"/>
  <c r="O15" i="2"/>
  <c r="K16" i="2"/>
  <c r="N16" i="2"/>
  <c r="O16" i="2"/>
  <c r="K17" i="2"/>
  <c r="N17" i="2"/>
  <c r="O17" i="2"/>
  <c r="K12" i="2"/>
  <c r="N12" i="2"/>
  <c r="O12" i="2"/>
  <c r="K61" i="1"/>
  <c r="M61" i="1" s="1"/>
  <c r="K29" i="1"/>
  <c r="M29" i="1" s="1"/>
  <c r="K14" i="1"/>
  <c r="J29" i="4"/>
  <c r="H19" i="4"/>
  <c r="I19" i="4" s="1"/>
  <c r="I20" i="4"/>
  <c r="J20" i="4"/>
  <c r="I26" i="4"/>
  <c r="J26" i="4"/>
  <c r="I24" i="4"/>
  <c r="J24" i="4"/>
  <c r="I6" i="4"/>
  <c r="J6" i="4"/>
  <c r="I40" i="4"/>
  <c r="J40" i="4"/>
  <c r="I29" i="4"/>
  <c r="I41" i="4"/>
  <c r="J41" i="4"/>
  <c r="I42" i="4"/>
  <c r="J42" i="4"/>
  <c r="I43" i="4"/>
  <c r="J43" i="4"/>
  <c r="I44" i="4"/>
  <c r="J44" i="4"/>
  <c r="I28" i="4"/>
  <c r="J28" i="4"/>
  <c r="I45" i="4"/>
  <c r="J45" i="4"/>
  <c r="I21" i="4"/>
  <c r="J21" i="4"/>
  <c r="I46" i="4"/>
  <c r="J46" i="4"/>
  <c r="I47" i="4"/>
  <c r="J47" i="4"/>
  <c r="I35" i="4"/>
  <c r="J35" i="4"/>
  <c r="I18" i="4"/>
  <c r="J18" i="4"/>
  <c r="I36" i="4"/>
  <c r="J36" i="4"/>
  <c r="I37" i="4"/>
  <c r="J37" i="4"/>
  <c r="I10" i="4"/>
  <c r="J10" i="4"/>
  <c r="I38" i="4"/>
  <c r="J38" i="4"/>
  <c r="I33" i="4"/>
  <c r="J33" i="4"/>
  <c r="I39" i="4"/>
  <c r="J39" i="4"/>
  <c r="I31" i="4"/>
  <c r="J31" i="4"/>
  <c r="I13" i="4"/>
  <c r="J13" i="4"/>
  <c r="I17" i="4"/>
  <c r="J17" i="4"/>
  <c r="I34" i="4"/>
  <c r="J34" i="4"/>
  <c r="H17" i="4"/>
  <c r="C20" i="4"/>
  <c r="C31" i="4"/>
  <c r="C36" i="4"/>
  <c r="C11" i="4"/>
  <c r="M55" i="4"/>
  <c r="M54" i="4"/>
  <c r="M53" i="4"/>
  <c r="M52" i="4"/>
  <c r="M51" i="4"/>
  <c r="S50" i="4"/>
  <c r="S55" i="4" s="1"/>
  <c r="M50" i="4"/>
  <c r="R50" i="4" s="1"/>
  <c r="S49" i="4"/>
  <c r="R49" i="4"/>
  <c r="Q49" i="4"/>
  <c r="P49" i="4"/>
  <c r="O49" i="4"/>
  <c r="N49" i="4"/>
  <c r="M46" i="4"/>
  <c r="M45" i="4"/>
  <c r="M44" i="4"/>
  <c r="M43" i="4"/>
  <c r="M42" i="4"/>
  <c r="S41" i="4"/>
  <c r="S46" i="4" s="1"/>
  <c r="M41" i="4"/>
  <c r="R41" i="4" s="1"/>
  <c r="S40" i="4"/>
  <c r="R40" i="4"/>
  <c r="Q40" i="4"/>
  <c r="P40" i="4"/>
  <c r="O40" i="4"/>
  <c r="N40" i="4"/>
  <c r="Q37" i="4"/>
  <c r="P37" i="4"/>
  <c r="N37" i="4"/>
  <c r="M37" i="4"/>
  <c r="R36" i="4"/>
  <c r="Q36" i="4"/>
  <c r="P36" i="4"/>
  <c r="O36" i="4"/>
  <c r="M36" i="4"/>
  <c r="R35" i="4"/>
  <c r="P35" i="4"/>
  <c r="O35" i="4"/>
  <c r="N35" i="4"/>
  <c r="M35" i="4"/>
  <c r="R34" i="4"/>
  <c r="Q34" i="4"/>
  <c r="N34" i="4"/>
  <c r="M34" i="4"/>
  <c r="R33" i="4"/>
  <c r="Q33" i="4"/>
  <c r="P33" i="4"/>
  <c r="O33" i="4"/>
  <c r="N33" i="4"/>
  <c r="M33" i="4"/>
  <c r="S32" i="4"/>
  <c r="S37" i="4" s="1"/>
  <c r="R32" i="4"/>
  <c r="R37" i="4" s="1"/>
  <c r="Q32" i="4"/>
  <c r="Q35" i="4" s="1"/>
  <c r="P32" i="4"/>
  <c r="P34" i="4" s="1"/>
  <c r="O32" i="4"/>
  <c r="O34" i="4" s="1"/>
  <c r="N32" i="4"/>
  <c r="N36" i="4" s="1"/>
  <c r="S31" i="4"/>
  <c r="R31" i="4"/>
  <c r="Q31" i="4"/>
  <c r="P31" i="4"/>
  <c r="O31" i="4"/>
  <c r="N31" i="4"/>
  <c r="J18" i="2"/>
  <c r="P50" i="1"/>
  <c r="P41" i="1"/>
  <c r="A23" i="1"/>
  <c r="P55" i="1"/>
  <c r="P54" i="1"/>
  <c r="P53" i="1"/>
  <c r="P52" i="1"/>
  <c r="P51" i="1"/>
  <c r="V49" i="1"/>
  <c r="U49" i="1"/>
  <c r="T49" i="1"/>
  <c r="S49" i="1"/>
  <c r="R49" i="1"/>
  <c r="Q49" i="1"/>
  <c r="P46" i="1"/>
  <c r="P45" i="1"/>
  <c r="P44" i="1"/>
  <c r="P43" i="1"/>
  <c r="P42" i="1"/>
  <c r="V40" i="1"/>
  <c r="U40" i="1"/>
  <c r="T40" i="1"/>
  <c r="S40" i="1"/>
  <c r="R40" i="1"/>
  <c r="Q40" i="1"/>
  <c r="L6" i="1"/>
  <c r="P37" i="1"/>
  <c r="P36" i="1"/>
  <c r="P35" i="1"/>
  <c r="P34" i="1"/>
  <c r="P33" i="1"/>
  <c r="V31" i="1"/>
  <c r="U31" i="1"/>
  <c r="T31" i="1"/>
  <c r="S31" i="1"/>
  <c r="R31" i="1"/>
  <c r="Q31" i="1"/>
  <c r="J16" i="5"/>
  <c r="K4" i="5" s="1"/>
  <c r="O4" i="5" s="1"/>
  <c r="J25" i="4"/>
  <c r="N1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12" i="4"/>
  <c r="I12" i="4"/>
  <c r="J8" i="4"/>
  <c r="I8" i="4"/>
  <c r="J74" i="4"/>
  <c r="I74" i="4"/>
  <c r="J23" i="4"/>
  <c r="I23" i="4"/>
  <c r="J73" i="4"/>
  <c r="I73" i="4"/>
  <c r="J72" i="4"/>
  <c r="I72" i="4"/>
  <c r="J71" i="4"/>
  <c r="I71" i="4"/>
  <c r="J70" i="4"/>
  <c r="I70" i="4"/>
  <c r="J69" i="4"/>
  <c r="I69" i="4"/>
  <c r="J15" i="4"/>
  <c r="I15" i="4"/>
  <c r="J68" i="4"/>
  <c r="I68" i="4"/>
  <c r="J67" i="4"/>
  <c r="I67" i="4"/>
  <c r="J66" i="4"/>
  <c r="I66" i="4"/>
  <c r="J65" i="4"/>
  <c r="I65" i="4"/>
  <c r="J64" i="4"/>
  <c r="I64" i="4"/>
  <c r="J63" i="4"/>
  <c r="I63" i="4"/>
  <c r="J62" i="4"/>
  <c r="I62" i="4"/>
  <c r="J61" i="4"/>
  <c r="I61" i="4"/>
  <c r="J60" i="4"/>
  <c r="I60" i="4"/>
  <c r="J59" i="4"/>
  <c r="I59" i="4"/>
  <c r="J58" i="4"/>
  <c r="I58" i="4"/>
  <c r="J57" i="4"/>
  <c r="I57" i="4"/>
  <c r="J14" i="4"/>
  <c r="I14" i="4"/>
  <c r="J7" i="4"/>
  <c r="I7" i="4"/>
  <c r="J56" i="4"/>
  <c r="I56" i="4"/>
  <c r="J55" i="4"/>
  <c r="I55" i="4"/>
  <c r="J54" i="4"/>
  <c r="I54" i="4"/>
  <c r="J22" i="4"/>
  <c r="I22" i="4"/>
  <c r="J53" i="4"/>
  <c r="I53" i="4"/>
  <c r="J52" i="4"/>
  <c r="I52" i="4"/>
  <c r="J27" i="4"/>
  <c r="I27" i="4"/>
  <c r="J51" i="4"/>
  <c r="I51" i="4"/>
  <c r="J50" i="4"/>
  <c r="I50" i="4"/>
  <c r="J11" i="4"/>
  <c r="I11" i="4"/>
  <c r="J49" i="4"/>
  <c r="I49" i="4"/>
  <c r="J48" i="4"/>
  <c r="I48" i="4"/>
  <c r="S28" i="4"/>
  <c r="Q28" i="4"/>
  <c r="M28" i="4"/>
  <c r="M27" i="4"/>
  <c r="M26" i="4"/>
  <c r="S25" i="4"/>
  <c r="Q25" i="4"/>
  <c r="M25" i="4"/>
  <c r="S24" i="4"/>
  <c r="M24" i="4"/>
  <c r="S23" i="4"/>
  <c r="S26" i="4" s="1"/>
  <c r="Q23" i="4"/>
  <c r="Q26" i="4" s="1"/>
  <c r="P23" i="4"/>
  <c r="P25" i="4" s="1"/>
  <c r="O23" i="4"/>
  <c r="O25" i="4" s="1"/>
  <c r="N23" i="4"/>
  <c r="N25" i="4" s="1"/>
  <c r="S22" i="4"/>
  <c r="R22" i="4"/>
  <c r="Q22" i="4"/>
  <c r="P22" i="4"/>
  <c r="O22" i="4"/>
  <c r="N22" i="4"/>
  <c r="M19" i="4"/>
  <c r="M18" i="4"/>
  <c r="M17" i="4"/>
  <c r="N16" i="4"/>
  <c r="M16" i="4"/>
  <c r="M15" i="4"/>
  <c r="S14" i="4"/>
  <c r="S16" i="4" s="1"/>
  <c r="R14" i="4"/>
  <c r="R16" i="4" s="1"/>
  <c r="Q14" i="4"/>
  <c r="Q19" i="4" s="1"/>
  <c r="P14" i="4"/>
  <c r="P19" i="4" s="1"/>
  <c r="O14" i="4"/>
  <c r="O19" i="4" s="1"/>
  <c r="N14" i="4"/>
  <c r="N18" i="4" s="1"/>
  <c r="S13" i="4"/>
  <c r="R13" i="4"/>
  <c r="Q13" i="4"/>
  <c r="P13" i="4"/>
  <c r="O13" i="4"/>
  <c r="N13" i="4"/>
  <c r="M10" i="4"/>
  <c r="M9" i="4"/>
  <c r="M8" i="4"/>
  <c r="J9" i="4"/>
  <c r="I9" i="4"/>
  <c r="R7" i="4"/>
  <c r="P7" i="4"/>
  <c r="M7" i="4"/>
  <c r="J16" i="4"/>
  <c r="I16" i="4"/>
  <c r="M6" i="4"/>
  <c r="J32" i="4"/>
  <c r="I32" i="4"/>
  <c r="R5" i="4"/>
  <c r="R8" i="4" s="1"/>
  <c r="P5" i="4"/>
  <c r="P8" i="4" s="1"/>
  <c r="O5" i="4"/>
  <c r="O7" i="4" s="1"/>
  <c r="N5" i="4"/>
  <c r="N7" i="4" s="1"/>
  <c r="S4" i="4"/>
  <c r="R4" i="4"/>
  <c r="Q4" i="4"/>
  <c r="P4" i="4"/>
  <c r="O4" i="4"/>
  <c r="N4" i="4"/>
  <c r="S5" i="4"/>
  <c r="K7" i="2"/>
  <c r="M55" i="1"/>
  <c r="M56" i="1"/>
  <c r="M57" i="1"/>
  <c r="M58" i="1"/>
  <c r="M59" i="1"/>
  <c r="M60" i="1"/>
  <c r="M62" i="1"/>
  <c r="M64" i="1"/>
  <c r="M63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L55" i="1"/>
  <c r="L56" i="1"/>
  <c r="L57" i="1"/>
  <c r="L58" i="1"/>
  <c r="L59" i="1"/>
  <c r="L60" i="1"/>
  <c r="L62" i="1"/>
  <c r="L64" i="1"/>
  <c r="L63" i="1"/>
  <c r="L65" i="1"/>
  <c r="L66" i="1"/>
  <c r="L67" i="1"/>
  <c r="L68" i="1"/>
  <c r="L69" i="1"/>
  <c r="L70" i="1"/>
  <c r="L71" i="1"/>
  <c r="L72" i="1"/>
  <c r="L73" i="1"/>
  <c r="L74" i="1"/>
  <c r="L43" i="1"/>
  <c r="L44" i="1"/>
  <c r="L45" i="1"/>
  <c r="L46" i="1"/>
  <c r="L47" i="1"/>
  <c r="L48" i="1"/>
  <c r="L49" i="1"/>
  <c r="L50" i="1"/>
  <c r="L51" i="1"/>
  <c r="L52" i="1"/>
  <c r="L53" i="1"/>
  <c r="L54" i="1"/>
  <c r="M6" i="1"/>
  <c r="M32" i="1"/>
  <c r="M11" i="1"/>
  <c r="L10" i="1"/>
  <c r="L12" i="1"/>
  <c r="L13" i="1"/>
  <c r="L14" i="1"/>
  <c r="L15" i="1"/>
  <c r="L17" i="1"/>
  <c r="L18" i="1"/>
  <c r="L20" i="1"/>
  <c r="L19" i="1"/>
  <c r="L21" i="1"/>
  <c r="L22" i="1"/>
  <c r="L23" i="1"/>
  <c r="L24" i="1"/>
  <c r="L25" i="1"/>
  <c r="L26" i="1"/>
  <c r="L27" i="1"/>
  <c r="L28" i="1"/>
  <c r="L30" i="1"/>
  <c r="L31" i="1"/>
  <c r="L33" i="1"/>
  <c r="L34" i="1"/>
  <c r="L35" i="1"/>
  <c r="L36" i="1"/>
  <c r="L37" i="1"/>
  <c r="L38" i="1"/>
  <c r="L39" i="1"/>
  <c r="L42" i="1"/>
  <c r="L40" i="1"/>
  <c r="L41" i="1"/>
  <c r="Q1" i="1"/>
  <c r="U14" i="1" s="1"/>
  <c r="P28" i="1"/>
  <c r="P27" i="1"/>
  <c r="P26" i="1"/>
  <c r="P25" i="1"/>
  <c r="P24" i="1"/>
  <c r="V22" i="1"/>
  <c r="U22" i="1"/>
  <c r="T22" i="1"/>
  <c r="S22" i="1"/>
  <c r="R22" i="1"/>
  <c r="Q22" i="1"/>
  <c r="P19" i="1"/>
  <c r="P18" i="1"/>
  <c r="P17" i="1"/>
  <c r="P16" i="1"/>
  <c r="P15" i="1"/>
  <c r="V13" i="1"/>
  <c r="U13" i="1"/>
  <c r="T13" i="1"/>
  <c r="S13" i="1"/>
  <c r="R13" i="1"/>
  <c r="Q13" i="1"/>
  <c r="M10" i="1"/>
  <c r="M12" i="1"/>
  <c r="M13" i="1"/>
  <c r="M14" i="1"/>
  <c r="M15" i="1"/>
  <c r="M17" i="1"/>
  <c r="M18" i="1"/>
  <c r="M20" i="1"/>
  <c r="M19" i="1"/>
  <c r="M21" i="1"/>
  <c r="M22" i="1"/>
  <c r="M23" i="1"/>
  <c r="M24" i="1"/>
  <c r="M25" i="1"/>
  <c r="M26" i="1"/>
  <c r="M27" i="1"/>
  <c r="M28" i="1"/>
  <c r="M30" i="1"/>
  <c r="M31" i="1"/>
  <c r="M33" i="1"/>
  <c r="M34" i="1"/>
  <c r="M35" i="1"/>
  <c r="M36" i="1"/>
  <c r="M37" i="1"/>
  <c r="M38" i="1"/>
  <c r="M39" i="1"/>
  <c r="M42" i="1"/>
  <c r="M40" i="1"/>
  <c r="M41" i="1"/>
  <c r="M43" i="1"/>
  <c r="M44" i="1"/>
  <c r="M45" i="1"/>
  <c r="M46" i="1"/>
  <c r="M47" i="1"/>
  <c r="M48" i="1"/>
  <c r="M49" i="1"/>
  <c r="M50" i="1"/>
  <c r="M51" i="1"/>
  <c r="M52" i="1"/>
  <c r="M53" i="1"/>
  <c r="M54" i="1"/>
  <c r="P7" i="1"/>
  <c r="P8" i="1"/>
  <c r="P9" i="1"/>
  <c r="P10" i="1"/>
  <c r="P6" i="1"/>
  <c r="R4" i="1"/>
  <c r="S4" i="1"/>
  <c r="T4" i="1"/>
  <c r="U4" i="1"/>
  <c r="V4" i="1"/>
  <c r="Q4" i="1"/>
  <c r="R41" i="1" l="1"/>
  <c r="R44" i="1" s="1"/>
  <c r="V50" i="1"/>
  <c r="V51" i="1" s="1"/>
  <c r="Q32" i="1"/>
  <c r="Q35" i="1" s="1"/>
  <c r="U50" i="1"/>
  <c r="U53" i="1" s="1"/>
  <c r="L61" i="1"/>
  <c r="L29" i="1"/>
  <c r="Q41" i="1"/>
  <c r="O13" i="5"/>
  <c r="K9" i="5"/>
  <c r="K12" i="5"/>
  <c r="K7" i="5"/>
  <c r="K5" i="5"/>
  <c r="K15" i="5"/>
  <c r="K11" i="5"/>
  <c r="K14" i="5"/>
  <c r="K10" i="5"/>
  <c r="K8" i="5"/>
  <c r="O8" i="5" s="1"/>
  <c r="K3" i="5"/>
  <c r="O3" i="5" s="1"/>
  <c r="K16" i="5"/>
  <c r="K6" i="5"/>
  <c r="O6" i="5" s="1"/>
  <c r="K2" i="5"/>
  <c r="O2" i="5" s="1"/>
  <c r="J19" i="4"/>
  <c r="R46" i="4"/>
  <c r="R44" i="4"/>
  <c r="R42" i="4"/>
  <c r="R45" i="4"/>
  <c r="R43" i="4"/>
  <c r="R53" i="4"/>
  <c r="R55" i="4"/>
  <c r="R52" i="4"/>
  <c r="R51" i="4"/>
  <c r="R54" i="4"/>
  <c r="S34" i="4"/>
  <c r="S43" i="4"/>
  <c r="S36" i="4"/>
  <c r="S45" i="4"/>
  <c r="S54" i="4"/>
  <c r="S33" i="4"/>
  <c r="O37" i="4"/>
  <c r="N41" i="4"/>
  <c r="S42" i="4"/>
  <c r="N50" i="4"/>
  <c r="S51" i="4"/>
  <c r="O50" i="4"/>
  <c r="S35" i="4"/>
  <c r="P41" i="4"/>
  <c r="S44" i="4"/>
  <c r="P50" i="4"/>
  <c r="S53" i="4"/>
  <c r="S52" i="4"/>
  <c r="Q41" i="4"/>
  <c r="Q50" i="4"/>
  <c r="O41" i="4"/>
  <c r="R6" i="4"/>
  <c r="O10" i="4"/>
  <c r="P10" i="4"/>
  <c r="N17" i="4"/>
  <c r="O17" i="4"/>
  <c r="P17" i="4"/>
  <c r="P6" i="4"/>
  <c r="N10" i="4"/>
  <c r="Q17" i="4"/>
  <c r="R10" i="4"/>
  <c r="Q18" i="4"/>
  <c r="O7" i="2"/>
  <c r="N7" i="2"/>
  <c r="K6" i="2"/>
  <c r="K5" i="2"/>
  <c r="K2" i="2"/>
  <c r="K18" i="2"/>
  <c r="K4" i="2"/>
  <c r="K3" i="2"/>
  <c r="K11" i="2"/>
  <c r="K10" i="2"/>
  <c r="K9" i="2"/>
  <c r="K8" i="2"/>
  <c r="R43" i="1"/>
  <c r="R32" i="1"/>
  <c r="R35" i="1" s="1"/>
  <c r="S41" i="1"/>
  <c r="S42" i="1" s="1"/>
  <c r="V55" i="1"/>
  <c r="U55" i="1"/>
  <c r="R42" i="1"/>
  <c r="V53" i="1"/>
  <c r="S32" i="1"/>
  <c r="S35" i="1" s="1"/>
  <c r="T41" i="1"/>
  <c r="T44" i="1" s="1"/>
  <c r="T32" i="1"/>
  <c r="T36" i="1" s="1"/>
  <c r="U41" i="1"/>
  <c r="U45" i="1" s="1"/>
  <c r="U32" i="1"/>
  <c r="V41" i="1"/>
  <c r="V44" i="1" s="1"/>
  <c r="R45" i="1"/>
  <c r="Q50" i="1"/>
  <c r="V54" i="1"/>
  <c r="V52" i="1"/>
  <c r="V32" i="1"/>
  <c r="Q45" i="1"/>
  <c r="R50" i="1"/>
  <c r="S50" i="1"/>
  <c r="T50" i="1"/>
  <c r="R46" i="1"/>
  <c r="N4" i="5"/>
  <c r="I25" i="4"/>
  <c r="O18" i="4"/>
  <c r="O16" i="4"/>
  <c r="S18" i="4"/>
  <c r="P24" i="4"/>
  <c r="O6" i="4"/>
  <c r="Q24" i="4"/>
  <c r="J30" i="4"/>
  <c r="I30" i="4"/>
  <c r="S9" i="4"/>
  <c r="S10" i="4"/>
  <c r="S6" i="4"/>
  <c r="S7" i="4"/>
  <c r="S8" i="4"/>
  <c r="R15" i="4"/>
  <c r="R19" i="4"/>
  <c r="N24" i="4"/>
  <c r="N28" i="4"/>
  <c r="N6" i="4"/>
  <c r="S15" i="4"/>
  <c r="P18" i="4"/>
  <c r="S19" i="4"/>
  <c r="O24" i="4"/>
  <c r="O28" i="4"/>
  <c r="P28" i="4"/>
  <c r="R18" i="4"/>
  <c r="N27" i="4"/>
  <c r="O27" i="4"/>
  <c r="P27" i="4"/>
  <c r="O9" i="4"/>
  <c r="R17" i="4"/>
  <c r="N26" i="4"/>
  <c r="Q27" i="4"/>
  <c r="Q5" i="4"/>
  <c r="N8" i="4"/>
  <c r="P9" i="4"/>
  <c r="P16" i="4"/>
  <c r="S17" i="4"/>
  <c r="R23" i="4"/>
  <c r="O26" i="4"/>
  <c r="O8" i="4"/>
  <c r="N15" i="4"/>
  <c r="Q16" i="4"/>
  <c r="N19" i="4"/>
  <c r="P26" i="4"/>
  <c r="S27" i="4"/>
  <c r="R9" i="4"/>
  <c r="O15" i="4"/>
  <c r="N9" i="4"/>
  <c r="P15" i="4"/>
  <c r="Q15" i="4"/>
  <c r="L32" i="1"/>
  <c r="L11" i="1"/>
  <c r="U18" i="1"/>
  <c r="U16" i="1"/>
  <c r="U19" i="1"/>
  <c r="U17" i="1"/>
  <c r="U15" i="1"/>
  <c r="R23" i="1"/>
  <c r="R5" i="1"/>
  <c r="R10" i="1" s="1"/>
  <c r="Q23" i="1"/>
  <c r="S23" i="1"/>
  <c r="U23" i="1"/>
  <c r="V23" i="1"/>
  <c r="Q5" i="1"/>
  <c r="Q9" i="1" s="1"/>
  <c r="Q14" i="1"/>
  <c r="V14" i="1"/>
  <c r="T23" i="1"/>
  <c r="V5" i="1"/>
  <c r="V10" i="1" s="1"/>
  <c r="R14" i="1"/>
  <c r="U5" i="1"/>
  <c r="U6" i="1" s="1"/>
  <c r="S14" i="1"/>
  <c r="T5" i="1"/>
  <c r="T7" i="1" s="1"/>
  <c r="T14" i="1"/>
  <c r="S5" i="1"/>
  <c r="S9" i="1" s="1"/>
  <c r="Q33" i="1" l="1"/>
  <c r="Q37" i="1"/>
  <c r="Q34" i="1"/>
  <c r="Q36" i="1"/>
  <c r="R33" i="1"/>
  <c r="U51" i="1"/>
  <c r="U52" i="1"/>
  <c r="S45" i="1"/>
  <c r="U54" i="1"/>
  <c r="S33" i="1"/>
  <c r="S34" i="1"/>
  <c r="S36" i="1"/>
  <c r="S43" i="1"/>
  <c r="S37" i="1"/>
  <c r="Q44" i="1"/>
  <c r="Q43" i="1"/>
  <c r="Q42" i="1"/>
  <c r="Q46" i="1"/>
  <c r="N14" i="5"/>
  <c r="O14" i="5"/>
  <c r="N10" i="5"/>
  <c r="O10" i="5"/>
  <c r="N11" i="5"/>
  <c r="O11" i="5"/>
  <c r="N15" i="5"/>
  <c r="O15" i="5"/>
  <c r="N3" i="5"/>
  <c r="N8" i="5"/>
  <c r="N12" i="5"/>
  <c r="O12" i="5"/>
  <c r="N2" i="5"/>
  <c r="N6" i="5"/>
  <c r="O52" i="4"/>
  <c r="O53" i="4"/>
  <c r="O51" i="4"/>
  <c r="O55" i="4"/>
  <c r="O54" i="4"/>
  <c r="P43" i="4"/>
  <c r="P46" i="4"/>
  <c r="P45" i="4"/>
  <c r="P44" i="4"/>
  <c r="P42" i="4"/>
  <c r="N54" i="4"/>
  <c r="N53" i="4"/>
  <c r="N52" i="4"/>
  <c r="N51" i="4"/>
  <c r="N55" i="4"/>
  <c r="N45" i="4"/>
  <c r="N43" i="4"/>
  <c r="N46" i="4"/>
  <c r="N44" i="4"/>
  <c r="N42" i="4"/>
  <c r="O43" i="4"/>
  <c r="O44" i="4"/>
  <c r="O46" i="4"/>
  <c r="O42" i="4"/>
  <c r="O45" i="4"/>
  <c r="Q52" i="4"/>
  <c r="Q51" i="4"/>
  <c r="Q55" i="4"/>
  <c r="Q53" i="4"/>
  <c r="Q54" i="4"/>
  <c r="Q42" i="4"/>
  <c r="Q46" i="4"/>
  <c r="Q44" i="4"/>
  <c r="Q45" i="4"/>
  <c r="Q43" i="4"/>
  <c r="P52" i="4"/>
  <c r="P55" i="4"/>
  <c r="P51" i="4"/>
  <c r="P53" i="4"/>
  <c r="P54" i="4"/>
  <c r="N4" i="2"/>
  <c r="O4" i="2"/>
  <c r="N9" i="2"/>
  <c r="O9" i="2"/>
  <c r="N8" i="2"/>
  <c r="O8" i="2"/>
  <c r="O10" i="2"/>
  <c r="N10" i="2"/>
  <c r="N3" i="2"/>
  <c r="O3" i="2"/>
  <c r="O2" i="2"/>
  <c r="N2" i="2"/>
  <c r="N5" i="2"/>
  <c r="O5" i="2"/>
  <c r="N6" i="2"/>
  <c r="O6" i="2"/>
  <c r="O11" i="2"/>
  <c r="N11" i="2"/>
  <c r="T45" i="1"/>
  <c r="U43" i="1"/>
  <c r="T51" i="1"/>
  <c r="T52" i="1"/>
  <c r="T54" i="1"/>
  <c r="T53" i="1"/>
  <c r="T55" i="1"/>
  <c r="V42" i="1"/>
  <c r="V46" i="1"/>
  <c r="R34" i="1"/>
  <c r="U35" i="1"/>
  <c r="U33" i="1"/>
  <c r="R36" i="1"/>
  <c r="V45" i="1"/>
  <c r="T35" i="1"/>
  <c r="T33" i="1"/>
  <c r="R37" i="1"/>
  <c r="R54" i="1"/>
  <c r="R51" i="1"/>
  <c r="R53" i="1"/>
  <c r="R55" i="1"/>
  <c r="R52" i="1"/>
  <c r="S44" i="1"/>
  <c r="U36" i="1"/>
  <c r="S46" i="1"/>
  <c r="U37" i="1"/>
  <c r="T34" i="1"/>
  <c r="Q51" i="1"/>
  <c r="Q53" i="1"/>
  <c r="Q54" i="1"/>
  <c r="Q55" i="1"/>
  <c r="Q52" i="1"/>
  <c r="S52" i="1"/>
  <c r="S54" i="1"/>
  <c r="S51" i="1"/>
  <c r="S53" i="1"/>
  <c r="S55" i="1"/>
  <c r="V43" i="1"/>
  <c r="U42" i="1"/>
  <c r="U44" i="1"/>
  <c r="U46" i="1"/>
  <c r="T43" i="1"/>
  <c r="T42" i="1"/>
  <c r="U34" i="1"/>
  <c r="T37" i="1"/>
  <c r="V35" i="1"/>
  <c r="V36" i="1"/>
  <c r="V33" i="1"/>
  <c r="V37" i="1"/>
  <c r="V34" i="1"/>
  <c r="T46" i="1"/>
  <c r="T8" i="1"/>
  <c r="V6" i="1"/>
  <c r="V9" i="1"/>
  <c r="T10" i="1"/>
  <c r="U9" i="1"/>
  <c r="O9" i="5"/>
  <c r="N9" i="5"/>
  <c r="O7" i="5"/>
  <c r="N7" i="5"/>
  <c r="O5" i="5"/>
  <c r="N5" i="5"/>
  <c r="Q8" i="4"/>
  <c r="Q6" i="4"/>
  <c r="Q9" i="4"/>
  <c r="Q10" i="4"/>
  <c r="Q7" i="4"/>
  <c r="R26" i="4"/>
  <c r="R27" i="4"/>
  <c r="R28" i="4"/>
  <c r="R24" i="4"/>
  <c r="R25" i="4"/>
  <c r="U8" i="1"/>
  <c r="T6" i="1"/>
  <c r="V8" i="1"/>
  <c r="V26" i="1"/>
  <c r="V28" i="1"/>
  <c r="V24" i="1"/>
  <c r="V25" i="1"/>
  <c r="V27" i="1"/>
  <c r="U28" i="1"/>
  <c r="U24" i="1"/>
  <c r="U25" i="1"/>
  <c r="U27" i="1"/>
  <c r="U26" i="1"/>
  <c r="T18" i="1"/>
  <c r="T16" i="1"/>
  <c r="T19" i="1"/>
  <c r="T17" i="1"/>
  <c r="T15" i="1"/>
  <c r="U7" i="1"/>
  <c r="R24" i="1"/>
  <c r="R27" i="1"/>
  <c r="R25" i="1"/>
  <c r="R28" i="1"/>
  <c r="R26" i="1"/>
  <c r="R7" i="1"/>
  <c r="T24" i="1"/>
  <c r="T25" i="1"/>
  <c r="T27" i="1"/>
  <c r="T26" i="1"/>
  <c r="T28" i="1"/>
  <c r="S6" i="1"/>
  <c r="L7" i="1" s="1"/>
  <c r="S7" i="1"/>
  <c r="S24" i="1"/>
  <c r="S27" i="1"/>
  <c r="S25" i="1"/>
  <c r="S28" i="1"/>
  <c r="S26" i="1"/>
  <c r="Q25" i="1"/>
  <c r="Q27" i="1"/>
  <c r="Q24" i="1"/>
  <c r="Q26" i="1"/>
  <c r="Q28" i="1"/>
  <c r="T9" i="1"/>
  <c r="Q8" i="1"/>
  <c r="S8" i="1"/>
  <c r="Q10" i="1"/>
  <c r="Q6" i="1"/>
  <c r="S10" i="1"/>
  <c r="Q7" i="1"/>
  <c r="S16" i="1"/>
  <c r="S18" i="1"/>
  <c r="S19" i="1"/>
  <c r="S17" i="1"/>
  <c r="S15" i="1"/>
  <c r="K16" i="1" s="1"/>
  <c r="U10" i="1"/>
  <c r="R16" i="1"/>
  <c r="R19" i="1"/>
  <c r="R17" i="1"/>
  <c r="R15" i="1"/>
  <c r="R18" i="1"/>
  <c r="V7" i="1"/>
  <c r="R8" i="1"/>
  <c r="V18" i="1"/>
  <c r="V16" i="1"/>
  <c r="V19" i="1"/>
  <c r="V17" i="1"/>
  <c r="V15" i="1"/>
  <c r="R6" i="1"/>
  <c r="R9" i="1"/>
  <c r="Q15" i="1"/>
  <c r="Q18" i="1"/>
  <c r="Q16" i="1"/>
  <c r="Q17" i="1"/>
  <c r="Q19" i="1"/>
  <c r="O16" i="5" l="1"/>
  <c r="N16" i="5"/>
  <c r="N18" i="2"/>
  <c r="O18" i="2"/>
  <c r="L16" i="1"/>
  <c r="M16" i="1"/>
  <c r="K8" i="1"/>
  <c r="M8" i="1" s="1"/>
  <c r="M7" i="1"/>
  <c r="L8" i="1" l="1"/>
  <c r="M9" i="1"/>
  <c r="L9" i="1"/>
</calcChain>
</file>

<file path=xl/sharedStrings.xml><?xml version="1.0" encoding="utf-8"?>
<sst xmlns="http://schemas.openxmlformats.org/spreadsheetml/2006/main" count="214" uniqueCount="100">
  <si>
    <t>mAb</t>
    <phoneticPr fontId="1" type="noConversion"/>
  </si>
  <si>
    <t>5F9m mAb</t>
    <phoneticPr fontId="1" type="noConversion"/>
  </si>
  <si>
    <t>Average Mass</t>
  </si>
  <si>
    <t>Fractional Abundance</t>
  </si>
  <si>
    <t>A090412</t>
    <phoneticPr fontId="1" type="noConversion"/>
  </si>
  <si>
    <t>[4]</t>
    <phoneticPr fontId="1" type="noConversion"/>
  </si>
  <si>
    <t>Species</t>
  </si>
  <si>
    <t>Species</t>
    <phoneticPr fontId="1" type="noConversion"/>
  </si>
  <si>
    <t>Theretcial m.w.</t>
  </si>
  <si>
    <t>Theretcial m.w.</t>
    <phoneticPr fontId="1" type="noConversion"/>
  </si>
  <si>
    <t>accuracy ppm</t>
  </si>
  <si>
    <t>accuracy ppm</t>
    <phoneticPr fontId="1" type="noConversion"/>
  </si>
  <si>
    <t>delta mass</t>
  </si>
  <si>
    <t>delta mass</t>
    <phoneticPr fontId="1" type="noConversion"/>
  </si>
  <si>
    <t>[12]</t>
    <phoneticPr fontId="1" type="noConversion"/>
  </si>
  <si>
    <t>2[4]-8[12]</t>
  </si>
  <si>
    <t>2[4]-8[12]</t>
    <phoneticPr fontId="1" type="noConversion"/>
  </si>
  <si>
    <t>1[4]-8[12]</t>
  </si>
  <si>
    <t>1[4]-8[12]</t>
    <phoneticPr fontId="1" type="noConversion"/>
  </si>
  <si>
    <t>3[4]-8[12]</t>
  </si>
  <si>
    <t>3[4]-8[12]</t>
    <phoneticPr fontId="1" type="noConversion"/>
  </si>
  <si>
    <t>2[4]-6[12]</t>
  </si>
  <si>
    <t>2[4]-6[12]</t>
    <phoneticPr fontId="1" type="noConversion"/>
  </si>
  <si>
    <t>3[4]-6[12]</t>
  </si>
  <si>
    <t>3[4]-6[12]</t>
    <phoneticPr fontId="1" type="noConversion"/>
  </si>
  <si>
    <t>0[4]-8[12]</t>
  </si>
  <si>
    <t>0[4]-8[12]</t>
    <phoneticPr fontId="1" type="noConversion"/>
  </si>
  <si>
    <t>2[4]-4[12]</t>
  </si>
  <si>
    <t>2[4]-4[12]</t>
    <phoneticPr fontId="1" type="noConversion"/>
  </si>
  <si>
    <t>1[4]-6[12]</t>
  </si>
  <si>
    <t>1[4]-6[12]</t>
    <phoneticPr fontId="1" type="noConversion"/>
  </si>
  <si>
    <t>3[4]-4[12]</t>
  </si>
  <si>
    <t>3[4]-4[12]</t>
    <phoneticPr fontId="1" type="noConversion"/>
  </si>
  <si>
    <t>0[4]-0[12]</t>
  </si>
  <si>
    <t>0[4]-0[12]</t>
    <phoneticPr fontId="1" type="noConversion"/>
  </si>
  <si>
    <t>Total</t>
    <phoneticPr fontId="1" type="noConversion"/>
  </si>
  <si>
    <t>Fractional
Abundance</t>
    <phoneticPr fontId="1" type="noConversion"/>
  </si>
  <si>
    <t>relative
abundance</t>
    <phoneticPr fontId="1" type="noConversion"/>
  </si>
  <si>
    <t>[4] number</t>
    <phoneticPr fontId="1" type="noConversion"/>
  </si>
  <si>
    <t>[12] number</t>
    <phoneticPr fontId="1" type="noConversion"/>
  </si>
  <si>
    <t>[4] DAR</t>
    <phoneticPr fontId="1" type="noConversion"/>
  </si>
  <si>
    <t>[12] DAR</t>
    <phoneticPr fontId="1" type="noConversion"/>
  </si>
  <si>
    <t>Total DAR</t>
    <phoneticPr fontId="1" type="noConversion"/>
  </si>
  <si>
    <t>A090512</t>
    <phoneticPr fontId="1" type="noConversion"/>
  </si>
  <si>
    <t>2[5]-8[12]</t>
  </si>
  <si>
    <t>2[5]-8[12]</t>
    <phoneticPr fontId="1" type="noConversion"/>
  </si>
  <si>
    <t>[5]</t>
    <phoneticPr fontId="1" type="noConversion"/>
  </si>
  <si>
    <t>1[5]-8[12]</t>
  </si>
  <si>
    <t>1[5]-8[12]</t>
    <phoneticPr fontId="1" type="noConversion"/>
  </si>
  <si>
    <t>3[5]-8[12]</t>
  </si>
  <si>
    <t>3[5]-8[12]</t>
    <phoneticPr fontId="1" type="noConversion"/>
  </si>
  <si>
    <t>2[5]-6[12]</t>
  </si>
  <si>
    <t>2[5]-6[12]</t>
    <phoneticPr fontId="1" type="noConversion"/>
  </si>
  <si>
    <t>3[5]-6[12]</t>
  </si>
  <si>
    <t>3[5]-6[12]</t>
    <phoneticPr fontId="1" type="noConversion"/>
  </si>
  <si>
    <t>0[5]-8[12]</t>
  </si>
  <si>
    <t>0[5]-8[12]</t>
    <phoneticPr fontId="1" type="noConversion"/>
  </si>
  <si>
    <t>4[5]-8[12]</t>
  </si>
  <si>
    <t>4[5]-8[12]</t>
    <phoneticPr fontId="1" type="noConversion"/>
  </si>
  <si>
    <t>2[5]-4[12]</t>
  </si>
  <si>
    <t>2[5]-4[12]</t>
    <phoneticPr fontId="1" type="noConversion"/>
  </si>
  <si>
    <t>[5] number</t>
    <phoneticPr fontId="1" type="noConversion"/>
  </si>
  <si>
    <t>[5] DAR</t>
    <phoneticPr fontId="1" type="noConversion"/>
  </si>
  <si>
    <t>L chain</t>
    <phoneticPr fontId="1" type="noConversion"/>
  </si>
  <si>
    <t>H chain</t>
    <phoneticPr fontId="1" type="noConversion"/>
  </si>
  <si>
    <t>L+H</t>
    <phoneticPr fontId="1" type="noConversion"/>
  </si>
  <si>
    <t>Sum Intensity</t>
  </si>
  <si>
    <t>Fractional
Abundance</t>
  </si>
  <si>
    <t>accuracy
ppm</t>
  </si>
  <si>
    <t>accuracy
ppm</t>
    <phoneticPr fontId="1" type="noConversion"/>
  </si>
  <si>
    <t>L-1[4]-1[12]</t>
  </si>
  <si>
    <t>L-1[4]-1[12]</t>
    <phoneticPr fontId="1" type="noConversion"/>
  </si>
  <si>
    <t>L-0[4]-1[12]</t>
  </si>
  <si>
    <t>L-0[4]-1[12]</t>
    <phoneticPr fontId="1" type="noConversion"/>
  </si>
  <si>
    <t>L-1[4]-0[12]</t>
  </si>
  <si>
    <t>L-1[4]-0[12]</t>
    <phoneticPr fontId="1" type="noConversion"/>
  </si>
  <si>
    <t>L</t>
  </si>
  <si>
    <t>L</t>
    <phoneticPr fontId="1" type="noConversion"/>
  </si>
  <si>
    <t>H</t>
    <phoneticPr fontId="1" type="noConversion"/>
  </si>
  <si>
    <t>L+H-1[4]-0[12]</t>
  </si>
  <si>
    <t>L+H-1[4]-0[12]</t>
    <phoneticPr fontId="1" type="noConversion"/>
  </si>
  <si>
    <t>H-0[4]-3[12]</t>
  </si>
  <si>
    <t>H-0[4]-3[12]</t>
    <phoneticPr fontId="1" type="noConversion"/>
  </si>
  <si>
    <t>Spicies</t>
    <phoneticPr fontId="1" type="noConversion"/>
  </si>
  <si>
    <t>Sum Intensity</t>
    <phoneticPr fontId="1" type="noConversion"/>
  </si>
  <si>
    <t>Fractiona
 Abundance</t>
  </si>
  <si>
    <t>Fractiona
 Abundance</t>
    <phoneticPr fontId="1" type="noConversion"/>
  </si>
  <si>
    <t>Sum
Intensity</t>
    <phoneticPr fontId="1" type="noConversion"/>
  </si>
  <si>
    <t>L-1[5]-1[12]</t>
  </si>
  <si>
    <t>L-1[5]-1[12]</t>
    <phoneticPr fontId="1" type="noConversion"/>
  </si>
  <si>
    <t>L-0[5]-1[12]</t>
  </si>
  <si>
    <t>L-0[5]-1[12]</t>
    <phoneticPr fontId="1" type="noConversion"/>
  </si>
  <si>
    <t>L-2[5]-1[12]</t>
  </si>
  <si>
    <t>L-2[5]-1[12]</t>
    <phoneticPr fontId="1" type="noConversion"/>
  </si>
  <si>
    <t>L-1[5]-0[12]</t>
  </si>
  <si>
    <t>L-1[5]-0[12]</t>
    <phoneticPr fontId="1" type="noConversion"/>
  </si>
  <si>
    <t>L+H-1[5]-4[12]</t>
  </si>
  <si>
    <t>L+H-1[5]-4[12]</t>
    <phoneticPr fontId="1" type="noConversion"/>
  </si>
  <si>
    <t>H-0[5]-3[12]</t>
  </si>
  <si>
    <t>H-0[5]-3[12]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</si>
</sst>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86" formatCode="0.0"/>
    <numFmt numFmtId="187" formatCode="0.00_ 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186" fontId="3" fillId="0" borderId="0" xfId="0" applyNumberFormat="1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87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6"/>
  <sheetViews>
    <sheetView tabSelected="1" topLeftCell="B1" zoomScale="80" zoomScaleNormal="80" workbookViewId="0">
      <selection activeCell="G5" sqref="G5"/>
    </sheetView>
  </sheetViews>
  <sheetFormatPr defaultRowHeight="14.5" x14ac:dyDescent="0.3"/>
  <cols>
    <col min="1" max="1" width="11.69921875" style="1" customWidth="1"/>
    <col min="2" max="2" width="20.296875" style="1" bestFit="1" customWidth="1"/>
    <col min="3" max="6" width="13.19921875" style="1" customWidth="1"/>
    <col min="7" max="7" width="13.5" style="1" bestFit="1" customWidth="1"/>
    <col min="8" max="8" width="10.796875" style="1" customWidth="1"/>
    <col min="9" max="9" width="13.19921875" style="1" bestFit="1" customWidth="1"/>
    <col min="10" max="10" width="15.69921875" style="1" customWidth="1"/>
    <col min="11" max="11" width="14.8984375" style="1" bestFit="1" customWidth="1"/>
    <col min="12" max="12" width="14.8984375" style="1" customWidth="1"/>
    <col min="13" max="13" width="13.3984375" style="1" bestFit="1" customWidth="1"/>
    <col min="14" max="15" width="8.796875" style="1"/>
    <col min="16" max="16" width="12.59765625" style="1" bestFit="1" customWidth="1"/>
    <col min="17" max="17" width="9.3984375" style="1" bestFit="1" customWidth="1"/>
    <col min="18" max="18" width="12.59765625" style="1" bestFit="1" customWidth="1"/>
    <col min="19" max="16384" width="8.796875" style="1"/>
  </cols>
  <sheetData>
    <row r="1" spans="1:22" x14ac:dyDescent="0.3">
      <c r="A1" s="1" t="s">
        <v>1</v>
      </c>
      <c r="G1" s="1" t="s">
        <v>4</v>
      </c>
      <c r="P1" s="1" t="s">
        <v>5</v>
      </c>
      <c r="Q1" s="1">
        <f>2011.21+97.14</f>
        <v>2108.35</v>
      </c>
    </row>
    <row r="2" spans="1:22" x14ac:dyDescent="0.3">
      <c r="P2" s="1" t="s">
        <v>14</v>
      </c>
      <c r="Q2" s="1">
        <v>1717.83</v>
      </c>
    </row>
    <row r="3" spans="1:22" x14ac:dyDescent="0.3">
      <c r="Q3" s="1">
        <v>0</v>
      </c>
      <c r="R3" s="1">
        <v>1</v>
      </c>
      <c r="S3" s="1">
        <v>2</v>
      </c>
      <c r="T3" s="1">
        <v>3</v>
      </c>
      <c r="U3" s="1">
        <v>4</v>
      </c>
      <c r="V3" s="1">
        <v>5</v>
      </c>
    </row>
    <row r="4" spans="1:22" x14ac:dyDescent="0.3">
      <c r="Q4" s="1" t="str">
        <f>Q3&amp;$P$1</f>
        <v>0[4]</v>
      </c>
      <c r="R4" s="1" t="str">
        <f t="shared" ref="R4:V4" si="0">R3&amp;$P$1</f>
        <v>1[4]</v>
      </c>
      <c r="S4" s="1" t="str">
        <f t="shared" si="0"/>
        <v>2[4]</v>
      </c>
      <c r="T4" s="1" t="str">
        <f t="shared" si="0"/>
        <v>3[4]</v>
      </c>
      <c r="U4" s="1" t="str">
        <f t="shared" si="0"/>
        <v>4[4]</v>
      </c>
      <c r="V4" s="1" t="str">
        <f t="shared" si="0"/>
        <v>5[4]</v>
      </c>
    </row>
    <row r="5" spans="1:22" ht="29" x14ac:dyDescent="0.3">
      <c r="A5" s="1" t="s">
        <v>2</v>
      </c>
      <c r="B5" s="1" t="s">
        <v>3</v>
      </c>
      <c r="C5" s="1" t="s">
        <v>9</v>
      </c>
      <c r="D5" s="1" t="s">
        <v>13</v>
      </c>
      <c r="E5" s="6" t="s">
        <v>69</v>
      </c>
      <c r="G5" s="1" t="s">
        <v>2</v>
      </c>
      <c r="H5" s="6" t="s">
        <v>36</v>
      </c>
      <c r="I5" s="1" t="s">
        <v>66</v>
      </c>
      <c r="J5" s="1" t="s">
        <v>7</v>
      </c>
      <c r="K5" s="1" t="s">
        <v>9</v>
      </c>
      <c r="L5" s="1" t="s">
        <v>13</v>
      </c>
      <c r="M5" s="6" t="s">
        <v>69</v>
      </c>
      <c r="O5" s="1" t="s">
        <v>0</v>
      </c>
      <c r="P5" s="4">
        <v>144637.837702252</v>
      </c>
      <c r="Q5" s="1">
        <f>$P5+Q3*$Q$1</f>
        <v>144637.837702252</v>
      </c>
      <c r="R5" s="1">
        <f t="shared" ref="R5:V5" si="1">$P5+R3*$Q$1</f>
        <v>146746.18770225201</v>
      </c>
      <c r="S5" s="1">
        <f t="shared" si="1"/>
        <v>148854.53770225201</v>
      </c>
      <c r="T5" s="1">
        <f t="shared" si="1"/>
        <v>150962.88770225199</v>
      </c>
      <c r="U5" s="1">
        <f t="shared" si="1"/>
        <v>153071.23770225199</v>
      </c>
      <c r="V5" s="1">
        <f t="shared" si="1"/>
        <v>155179.587702252</v>
      </c>
    </row>
    <row r="6" spans="1:22" x14ac:dyDescent="0.3">
      <c r="A6" s="3">
        <v>144637.837702252</v>
      </c>
      <c r="B6" s="2">
        <v>74.112232916783995</v>
      </c>
      <c r="C6" s="1">
        <v>144958</v>
      </c>
      <c r="D6" s="17">
        <f>A6-C6</f>
        <v>-320.16229774800013</v>
      </c>
      <c r="E6" s="1">
        <f>D6/C6*1000000</f>
        <v>-2208.6555950551201</v>
      </c>
      <c r="G6" s="1">
        <v>27210.2</v>
      </c>
      <c r="H6" s="1">
        <v>23.21</v>
      </c>
      <c r="I6" s="1">
        <v>125667313.28906301</v>
      </c>
      <c r="J6" s="1" t="s">
        <v>71</v>
      </c>
      <c r="K6" s="1">
        <v>27216.269999999997</v>
      </c>
      <c r="L6" s="1">
        <f>(G6-K6)</f>
        <v>-6.069999999996071</v>
      </c>
      <c r="M6" s="1">
        <f>(G6-K6)/K6*1000000</f>
        <v>-223.02835766973473</v>
      </c>
      <c r="O6" s="1">
        <v>8</v>
      </c>
      <c r="P6" s="1" t="str">
        <f>O6&amp;$P$2</f>
        <v>8[12]</v>
      </c>
      <c r="Q6" s="5">
        <f t="shared" ref="Q6:V6" si="2">Q$5+$O6*$Q$2</f>
        <v>158380.47770225198</v>
      </c>
      <c r="R6" s="5">
        <f t="shared" si="2"/>
        <v>160488.82770225202</v>
      </c>
      <c r="S6" s="5">
        <f t="shared" si="2"/>
        <v>162597.177702252</v>
      </c>
      <c r="T6" s="5">
        <f t="shared" si="2"/>
        <v>164705.52770225197</v>
      </c>
      <c r="U6" s="1">
        <f t="shared" si="2"/>
        <v>166813.87770225201</v>
      </c>
      <c r="V6" s="1">
        <f t="shared" si="2"/>
        <v>168922.22770225198</v>
      </c>
    </row>
    <row r="7" spans="1:22" x14ac:dyDescent="0.3">
      <c r="A7" s="3">
        <v>144764.84299988899</v>
      </c>
      <c r="B7" s="2">
        <v>17.765136151721599</v>
      </c>
      <c r="G7" s="1">
        <v>162618.4</v>
      </c>
      <c r="H7" s="1">
        <v>9.19</v>
      </c>
      <c r="I7" s="1">
        <v>49757082.076171897</v>
      </c>
      <c r="J7" s="1" t="s">
        <v>16</v>
      </c>
      <c r="K7" s="1">
        <v>162597.17770225203</v>
      </c>
      <c r="L7" s="1">
        <f>(G7-K7)</f>
        <v>21.222297747968696</v>
      </c>
      <c r="M7" s="1">
        <f>(G7-K7)/K7*1000000</f>
        <v>130.52070182196502</v>
      </c>
      <c r="O7" s="1">
        <v>6</v>
      </c>
      <c r="P7" s="1" t="str">
        <f t="shared" ref="P7:P10" si="3">O7&amp;$P$2</f>
        <v>6[12]</v>
      </c>
      <c r="Q7" s="1">
        <f t="shared" ref="Q7:Q10" si="4">Q$5+$O7*$Q$2</f>
        <v>154944.81770225201</v>
      </c>
      <c r="R7" s="5">
        <f t="shared" ref="R7:V10" si="5">R$5+$O7*$Q$2</f>
        <v>157053.16770225202</v>
      </c>
      <c r="S7" s="5">
        <f t="shared" si="5"/>
        <v>159161.51770225202</v>
      </c>
      <c r="T7" s="5">
        <f t="shared" si="5"/>
        <v>161269.867702252</v>
      </c>
      <c r="U7" s="1">
        <f t="shared" si="5"/>
        <v>163378.217702252</v>
      </c>
      <c r="V7" s="1">
        <f t="shared" si="5"/>
        <v>165486.56770225201</v>
      </c>
    </row>
    <row r="8" spans="1:22" x14ac:dyDescent="0.3">
      <c r="A8" s="3">
        <v>144896.72323906701</v>
      </c>
      <c r="B8" s="2">
        <v>6.1421260281264498</v>
      </c>
      <c r="G8" s="1">
        <v>160514.76999999999</v>
      </c>
      <c r="H8" s="1">
        <v>8.34</v>
      </c>
      <c r="I8" s="1">
        <v>45142468.90625</v>
      </c>
      <c r="J8" s="1" t="s">
        <v>18</v>
      </c>
      <c r="K8" s="1">
        <f>R6</f>
        <v>160488.82770225202</v>
      </c>
      <c r="L8" s="1">
        <f>(G8-K8)</f>
        <v>25.94229774796986</v>
      </c>
      <c r="M8" s="1">
        <f>(G8-K8)/K8*1000000</f>
        <v>161.64550591708155</v>
      </c>
      <c r="O8" s="1">
        <v>4</v>
      </c>
      <c r="P8" s="1" t="str">
        <f t="shared" si="3"/>
        <v>4[12]</v>
      </c>
      <c r="Q8" s="1">
        <f t="shared" si="4"/>
        <v>151509.15770225201</v>
      </c>
      <c r="R8" s="1">
        <f t="shared" si="5"/>
        <v>153617.50770225201</v>
      </c>
      <c r="S8" s="5">
        <f t="shared" si="5"/>
        <v>155725.85770225202</v>
      </c>
      <c r="T8" s="5">
        <f t="shared" si="5"/>
        <v>157834.207702252</v>
      </c>
      <c r="U8" s="1">
        <f t="shared" si="5"/>
        <v>159942.557702252</v>
      </c>
      <c r="V8" s="1">
        <f t="shared" si="5"/>
        <v>162050.90770225201</v>
      </c>
    </row>
    <row r="9" spans="1:22" x14ac:dyDescent="0.3">
      <c r="A9" s="2">
        <v>144932.77188972401</v>
      </c>
      <c r="B9" s="2">
        <v>0.80105963401205305</v>
      </c>
      <c r="G9" s="1">
        <v>162620.14000000001</v>
      </c>
      <c r="H9" s="1">
        <v>5.99</v>
      </c>
      <c r="I9" s="1">
        <v>32438232.5</v>
      </c>
      <c r="J9" s="1" t="s">
        <v>16</v>
      </c>
      <c r="K9" s="1">
        <v>162597.17770225203</v>
      </c>
      <c r="L9" s="1">
        <f>(G9-K9)</f>
        <v>22.962297747988487</v>
      </c>
      <c r="M9" s="1">
        <f>(G9-K9)/K9*1000000</f>
        <v>141.22199457875615</v>
      </c>
      <c r="O9" s="1">
        <v>2</v>
      </c>
      <c r="P9" s="1" t="str">
        <f t="shared" si="3"/>
        <v>2[12]</v>
      </c>
      <c r="Q9" s="1">
        <f t="shared" si="4"/>
        <v>148073.497702252</v>
      </c>
      <c r="R9" s="1">
        <f t="shared" si="5"/>
        <v>150181.84770225201</v>
      </c>
      <c r="S9" s="1">
        <f t="shared" si="5"/>
        <v>152290.19770225202</v>
      </c>
      <c r="T9" s="1">
        <f t="shared" si="5"/>
        <v>154398.54770225199</v>
      </c>
      <c r="U9" s="1">
        <f t="shared" si="5"/>
        <v>156506.897702252</v>
      </c>
      <c r="V9" s="1">
        <f t="shared" si="5"/>
        <v>158615.247702252</v>
      </c>
    </row>
    <row r="10" spans="1:22" x14ac:dyDescent="0.3">
      <c r="A10" s="2">
        <v>144802.54710678599</v>
      </c>
      <c r="B10" s="2">
        <v>0.79228527846760999</v>
      </c>
      <c r="G10" s="4">
        <v>25102.26</v>
      </c>
      <c r="H10" s="1">
        <v>5.22</v>
      </c>
      <c r="I10" s="1">
        <v>28270714.541015599</v>
      </c>
      <c r="J10" s="1" t="s">
        <v>73</v>
      </c>
      <c r="K10" s="1">
        <v>25107.919999999998</v>
      </c>
      <c r="L10" s="1">
        <f>(G10-K10)</f>
        <v>-5.6599999999998545</v>
      </c>
      <c r="M10" s="1">
        <f>(G10-K10)/K10*1000000</f>
        <v>-225.42687725625441</v>
      </c>
      <c r="O10" s="1">
        <v>0</v>
      </c>
      <c r="P10" s="1" t="str">
        <f t="shared" si="3"/>
        <v>0[12]</v>
      </c>
      <c r="Q10" s="1">
        <f t="shared" si="4"/>
        <v>144637.837702252</v>
      </c>
      <c r="R10" s="1">
        <f t="shared" si="5"/>
        <v>146746.18770225201</v>
      </c>
      <c r="S10" s="1">
        <f t="shared" si="5"/>
        <v>148854.53770225201</v>
      </c>
      <c r="T10" s="1">
        <f t="shared" si="5"/>
        <v>150962.88770225199</v>
      </c>
      <c r="U10" s="1">
        <f t="shared" si="5"/>
        <v>153071.23770225199</v>
      </c>
      <c r="V10" s="1">
        <f t="shared" si="5"/>
        <v>155179.587702252</v>
      </c>
    </row>
    <row r="11" spans="1:22" x14ac:dyDescent="0.3">
      <c r="A11" s="2">
        <v>145058.06195202601</v>
      </c>
      <c r="B11" s="2">
        <v>0.20605572440488401</v>
      </c>
      <c r="G11" s="4">
        <v>160906.57</v>
      </c>
      <c r="H11" s="1">
        <v>3.78</v>
      </c>
      <c r="I11" s="1">
        <v>20461814.330078099</v>
      </c>
      <c r="L11" s="1">
        <f>(G11-K11)</f>
        <v>160906.57</v>
      </c>
      <c r="M11" s="1" t="e">
        <f>(G11-K11)/K11*1000000</f>
        <v>#DIV/0!</v>
      </c>
    </row>
    <row r="12" spans="1:22" x14ac:dyDescent="0.3">
      <c r="A12" s="2">
        <v>145223.35126442299</v>
      </c>
      <c r="B12" s="2">
        <v>0.15137808718691401</v>
      </c>
      <c r="G12" s="1">
        <v>164734.71</v>
      </c>
      <c r="H12" s="1">
        <v>3.73</v>
      </c>
      <c r="I12" s="1">
        <v>20216294.625</v>
      </c>
      <c r="J12" s="1" t="s">
        <v>20</v>
      </c>
      <c r="K12" s="1">
        <v>164705.527702252</v>
      </c>
      <c r="L12" s="1">
        <f>(G12-K12)</f>
        <v>29.182297747989651</v>
      </c>
      <c r="M12" s="1">
        <f>(G12-K12)/K12*1000000</f>
        <v>177.17861783451633</v>
      </c>
      <c r="Q12" s="1">
        <v>0</v>
      </c>
      <c r="R12" s="1">
        <v>1</v>
      </c>
      <c r="S12" s="1">
        <v>2</v>
      </c>
      <c r="T12" s="1">
        <v>3</v>
      </c>
      <c r="U12" s="1">
        <v>4</v>
      </c>
      <c r="V12" s="1">
        <v>5</v>
      </c>
    </row>
    <row r="13" spans="1:22" x14ac:dyDescent="0.3">
      <c r="A13" s="2">
        <v>145806.17484723599</v>
      </c>
      <c r="B13" s="2">
        <v>2.9726179296524501E-2</v>
      </c>
      <c r="G13" s="4">
        <v>54086.42</v>
      </c>
      <c r="H13" s="1">
        <v>3.59</v>
      </c>
      <c r="I13" s="1">
        <v>19414291.426513702</v>
      </c>
      <c r="K13" s="1">
        <v>54225.78</v>
      </c>
      <c r="L13" s="1">
        <f>(G13-K13)</f>
        <v>-139.36000000000058</v>
      </c>
      <c r="M13" s="1">
        <f>(G13-K13)/K13*1000000</f>
        <v>-2569.9953048162811</v>
      </c>
      <c r="Q13" s="1" t="str">
        <f>Q12&amp;$P$1</f>
        <v>0[4]</v>
      </c>
      <c r="R13" s="1" t="str">
        <f t="shared" ref="R13" si="6">R12&amp;$P$1</f>
        <v>1[4]</v>
      </c>
      <c r="S13" s="1" t="str">
        <f t="shared" ref="S13" si="7">S12&amp;$P$1</f>
        <v>2[4]</v>
      </c>
      <c r="T13" s="1" t="str">
        <f t="shared" ref="T13" si="8">T12&amp;$P$1</f>
        <v>3[4]</v>
      </c>
      <c r="U13" s="1" t="str">
        <f t="shared" ref="U13" si="9">U12&amp;$P$1</f>
        <v>4[4]</v>
      </c>
      <c r="V13" s="1" t="str">
        <f t="shared" ref="V13" si="10">V12&amp;$P$1</f>
        <v>5[4]</v>
      </c>
    </row>
    <row r="14" spans="1:22" x14ac:dyDescent="0.3">
      <c r="G14" s="4">
        <v>81303.600000000006</v>
      </c>
      <c r="H14" s="1">
        <v>3.12</v>
      </c>
      <c r="I14" s="1">
        <v>16870432.7880859</v>
      </c>
      <c r="J14" s="1" t="s">
        <v>16</v>
      </c>
      <c r="K14" s="1">
        <f>162597.177702252/2</f>
        <v>81298.588851125998</v>
      </c>
      <c r="L14" s="1">
        <f>(G14-K14)</f>
        <v>5.0111488740076311</v>
      </c>
      <c r="M14" s="1">
        <f>(G14-K14)/K14*1000000</f>
        <v>61.638817411505734</v>
      </c>
      <c r="O14" s="1" t="s">
        <v>0</v>
      </c>
      <c r="P14" s="3">
        <v>144764.84299988899</v>
      </c>
      <c r="Q14" s="1">
        <f>$P14+Q12*$Q$1</f>
        <v>144764.84299988899</v>
      </c>
      <c r="R14" s="1">
        <f t="shared" ref="R14:V14" si="11">$P14+R12*$Q$1</f>
        <v>146873.192999889</v>
      </c>
      <c r="S14" s="1">
        <f t="shared" si="11"/>
        <v>148981.542999889</v>
      </c>
      <c r="T14" s="1">
        <f t="shared" si="11"/>
        <v>151089.89299988898</v>
      </c>
      <c r="U14" s="1">
        <f t="shared" si="11"/>
        <v>153198.24299988899</v>
      </c>
      <c r="V14" s="1">
        <f t="shared" si="11"/>
        <v>155306.59299988899</v>
      </c>
    </row>
    <row r="15" spans="1:22" x14ac:dyDescent="0.3">
      <c r="G15" s="4">
        <v>25493.77</v>
      </c>
      <c r="H15" s="1">
        <v>2.41</v>
      </c>
      <c r="I15" s="1">
        <v>13047273.3208008</v>
      </c>
      <c r="J15" s="1" t="s">
        <v>75</v>
      </c>
      <c r="K15" s="1">
        <v>25498.44</v>
      </c>
      <c r="L15" s="1">
        <f>(G15-K15)</f>
        <v>-4.6699999999982538</v>
      </c>
      <c r="M15" s="1">
        <f>(G15-K15)/K15*1000000</f>
        <v>-183.14845927822464</v>
      </c>
      <c r="O15" s="1">
        <v>8</v>
      </c>
      <c r="P15" s="1" t="str">
        <f>O15&amp;$P$2</f>
        <v>8[12]</v>
      </c>
      <c r="Q15" s="1">
        <f>Q$14+$O15*$Q$2</f>
        <v>158507.48299988901</v>
      </c>
      <c r="R15" s="5">
        <f t="shared" ref="R15:V15" si="12">R$14+$O15*$Q$2</f>
        <v>160615.83299988898</v>
      </c>
      <c r="S15" s="5">
        <f t="shared" si="12"/>
        <v>162724.18299988902</v>
      </c>
      <c r="T15" s="5">
        <f t="shared" si="12"/>
        <v>164832.53299988899</v>
      </c>
      <c r="U15" s="1">
        <f t="shared" si="12"/>
        <v>166940.88299988897</v>
      </c>
      <c r="V15" s="1">
        <f t="shared" si="12"/>
        <v>169049.23299988901</v>
      </c>
    </row>
    <row r="16" spans="1:22" x14ac:dyDescent="0.3">
      <c r="A16" s="1" t="s">
        <v>63</v>
      </c>
      <c r="G16" s="1">
        <v>162756.54999999999</v>
      </c>
      <c r="H16" s="1">
        <v>2.2799999999999998</v>
      </c>
      <c r="I16" s="1">
        <v>12332716.375</v>
      </c>
      <c r="J16" s="1" t="s">
        <v>16</v>
      </c>
      <c r="K16" s="1">
        <f>S15</f>
        <v>162724.18299988902</v>
      </c>
      <c r="L16" s="1">
        <f>(G16-K16)</f>
        <v>32.367000110971276</v>
      </c>
      <c r="M16" s="1">
        <f>(G16-K16)/K16*1000000</f>
        <v>198.90712931705639</v>
      </c>
      <c r="O16" s="1">
        <v>6</v>
      </c>
      <c r="P16" s="1" t="str">
        <f t="shared" ref="P16:P19" si="13">O16&amp;$P$2</f>
        <v>6[12]</v>
      </c>
      <c r="Q16" s="1">
        <f t="shared" ref="Q16:V19" si="14">Q$14+$O16*$Q$2</f>
        <v>155071.822999889</v>
      </c>
      <c r="R16" s="1">
        <f t="shared" si="14"/>
        <v>157180.17299988901</v>
      </c>
      <c r="S16" s="1">
        <f t="shared" si="14"/>
        <v>159288.52299988901</v>
      </c>
      <c r="T16" s="1">
        <f t="shared" si="14"/>
        <v>161396.87299988899</v>
      </c>
      <c r="U16" s="1">
        <f t="shared" si="14"/>
        <v>163505.222999889</v>
      </c>
      <c r="V16" s="1">
        <f t="shared" si="14"/>
        <v>165613.572999889</v>
      </c>
    </row>
    <row r="17" spans="1:22" x14ac:dyDescent="0.3">
      <c r="A17" s="1">
        <v>23390.09</v>
      </c>
      <c r="G17" s="4">
        <v>34905.33</v>
      </c>
      <c r="H17" s="1">
        <v>2</v>
      </c>
      <c r="I17" s="1">
        <v>10830280.869140601</v>
      </c>
      <c r="L17" s="1">
        <f>(G17-K17)</f>
        <v>34905.33</v>
      </c>
      <c r="M17" s="1" t="e">
        <f>(G17-K17)/K17*1000000</f>
        <v>#DIV/0!</v>
      </c>
      <c r="O17" s="1">
        <v>4</v>
      </c>
      <c r="P17" s="1" t="str">
        <f t="shared" si="13"/>
        <v>4[12]</v>
      </c>
      <c r="Q17" s="1">
        <f t="shared" si="14"/>
        <v>151636.162999889</v>
      </c>
      <c r="R17" s="1">
        <f t="shared" si="14"/>
        <v>153744.512999889</v>
      </c>
      <c r="S17" s="1">
        <f t="shared" si="14"/>
        <v>155852.86299988901</v>
      </c>
      <c r="T17" s="1">
        <f t="shared" si="14"/>
        <v>157961.21299988899</v>
      </c>
      <c r="U17" s="1">
        <f t="shared" si="14"/>
        <v>160069.56299988899</v>
      </c>
      <c r="V17" s="1">
        <f t="shared" si="14"/>
        <v>162177.912999889</v>
      </c>
    </row>
    <row r="18" spans="1:22" x14ac:dyDescent="0.3">
      <c r="G18" s="1">
        <v>159183.96</v>
      </c>
      <c r="H18" s="1">
        <v>1.52</v>
      </c>
      <c r="I18" s="1">
        <v>8213419.84375</v>
      </c>
      <c r="J18" s="1" t="s">
        <v>22</v>
      </c>
      <c r="K18" s="1">
        <v>159161.51770225202</v>
      </c>
      <c r="L18" s="1">
        <f>(G18-K18)</f>
        <v>22.44229774796986</v>
      </c>
      <c r="M18" s="1">
        <f>(G18-K18)/K18*1000000</f>
        <v>141.00329069463453</v>
      </c>
      <c r="O18" s="1">
        <v>2</v>
      </c>
      <c r="P18" s="1" t="str">
        <f t="shared" si="13"/>
        <v>2[12]</v>
      </c>
      <c r="Q18" s="1">
        <f t="shared" si="14"/>
        <v>148200.50299988899</v>
      </c>
      <c r="R18" s="1">
        <f t="shared" si="14"/>
        <v>150308.852999889</v>
      </c>
      <c r="S18" s="1">
        <f t="shared" si="14"/>
        <v>152417.20299988901</v>
      </c>
      <c r="T18" s="1">
        <f t="shared" si="14"/>
        <v>154525.55299988898</v>
      </c>
      <c r="U18" s="1">
        <f t="shared" si="14"/>
        <v>156633.90299988899</v>
      </c>
      <c r="V18" s="1">
        <f t="shared" si="14"/>
        <v>158742.25299988899</v>
      </c>
    </row>
    <row r="19" spans="1:22" x14ac:dyDescent="0.3">
      <c r="A19" s="1" t="s">
        <v>64</v>
      </c>
      <c r="G19" s="1">
        <v>160654.42000000001</v>
      </c>
      <c r="H19" s="1">
        <v>1.45</v>
      </c>
      <c r="I19" s="1">
        <v>7834470.4316406297</v>
      </c>
      <c r="J19" s="1" t="s">
        <v>18</v>
      </c>
      <c r="K19" s="1">
        <v>160615.83299988901</v>
      </c>
      <c r="L19" s="1">
        <f>(G19-K19)</f>
        <v>38.587000111001544</v>
      </c>
      <c r="M19" s="1">
        <f>(G19-K19)/K19*1000000</f>
        <v>240.24406181069463</v>
      </c>
      <c r="O19" s="1">
        <v>0</v>
      </c>
      <c r="P19" s="1" t="str">
        <f t="shared" si="13"/>
        <v>0[12]</v>
      </c>
      <c r="Q19" s="1">
        <f t="shared" si="14"/>
        <v>144764.84299988899</v>
      </c>
      <c r="R19" s="1">
        <f t="shared" si="14"/>
        <v>146873.192999889</v>
      </c>
      <c r="S19" s="1">
        <f t="shared" si="14"/>
        <v>148981.542999889</v>
      </c>
      <c r="T19" s="1">
        <f t="shared" si="14"/>
        <v>151089.89299988898</v>
      </c>
      <c r="U19" s="1">
        <f t="shared" si="14"/>
        <v>153198.24299988899</v>
      </c>
      <c r="V19" s="1">
        <f t="shared" si="14"/>
        <v>155306.59299988899</v>
      </c>
    </row>
    <row r="20" spans="1:22" x14ac:dyDescent="0.3">
      <c r="A20" s="1">
        <v>49089.29</v>
      </c>
      <c r="G20" s="4">
        <v>158795.72</v>
      </c>
      <c r="H20" s="1">
        <v>1.45</v>
      </c>
      <c r="I20" s="1">
        <v>7829926.984375</v>
      </c>
      <c r="L20" s="1">
        <f>(G20-K20)</f>
        <v>158795.72</v>
      </c>
      <c r="M20" s="1" t="e">
        <f>(G20-K20)/K20*1000000</f>
        <v>#DIV/0!</v>
      </c>
    </row>
    <row r="21" spans="1:22" x14ac:dyDescent="0.3">
      <c r="G21" s="4">
        <v>34773.83</v>
      </c>
      <c r="H21" s="1">
        <v>1.32</v>
      </c>
      <c r="I21" s="1">
        <v>7126154.1503906297</v>
      </c>
      <c r="L21" s="1">
        <f>(G21-K21)</f>
        <v>34773.83</v>
      </c>
      <c r="M21" s="1" t="e">
        <f>(G21-K21)/K21*1000000</f>
        <v>#DIV/0!</v>
      </c>
      <c r="Q21" s="1">
        <v>0</v>
      </c>
      <c r="R21" s="1">
        <v>1</v>
      </c>
      <c r="S21" s="1">
        <v>2</v>
      </c>
      <c r="T21" s="1">
        <v>3</v>
      </c>
      <c r="U21" s="1">
        <v>4</v>
      </c>
      <c r="V21" s="1">
        <v>5</v>
      </c>
    </row>
    <row r="22" spans="1:22" x14ac:dyDescent="0.3">
      <c r="A22" s="1" t="s">
        <v>65</v>
      </c>
      <c r="G22" s="4">
        <v>79192.929999999993</v>
      </c>
      <c r="H22" s="1">
        <v>1.27</v>
      </c>
      <c r="I22" s="1">
        <v>6851386.02734375</v>
      </c>
      <c r="L22" s="1">
        <f>(G22-K22)</f>
        <v>79192.929999999993</v>
      </c>
      <c r="M22" s="1" t="e">
        <f>(G22-K22)/K22*1000000</f>
        <v>#DIV/0!</v>
      </c>
      <c r="Q22" s="1" t="str">
        <f>Q21&amp;$P$1</f>
        <v>0[4]</v>
      </c>
      <c r="R22" s="1" t="str">
        <f t="shared" ref="R22" si="15">R21&amp;$P$1</f>
        <v>1[4]</v>
      </c>
      <c r="S22" s="1" t="str">
        <f t="shared" ref="S22" si="16">S21&amp;$P$1</f>
        <v>2[4]</v>
      </c>
      <c r="T22" s="1" t="str">
        <f t="shared" ref="T22" si="17">T21&amp;$P$1</f>
        <v>3[4]</v>
      </c>
      <c r="U22" s="1" t="str">
        <f t="shared" ref="U22" si="18">U21&amp;$P$1</f>
        <v>4[4]</v>
      </c>
      <c r="V22" s="1" t="str">
        <f t="shared" ref="V22" si="19">V21&amp;$P$1</f>
        <v>5[4]</v>
      </c>
    </row>
    <row r="23" spans="1:22" x14ac:dyDescent="0.3">
      <c r="A23" s="1">
        <f>A17+A20</f>
        <v>72479.38</v>
      </c>
      <c r="G23" s="4">
        <v>40650.94</v>
      </c>
      <c r="H23" s="1">
        <v>1.24</v>
      </c>
      <c r="I23" s="1">
        <v>6709134.75</v>
      </c>
      <c r="L23" s="1">
        <f>(G23-K23)</f>
        <v>40650.94</v>
      </c>
      <c r="M23" s="1" t="e">
        <f>(G23-K23)/K23*1000000</f>
        <v>#DIV/0!</v>
      </c>
      <c r="O23" s="1" t="s">
        <v>0</v>
      </c>
      <c r="P23" s="3">
        <v>144896.72323906701</v>
      </c>
      <c r="Q23" s="1">
        <f>$P23+Q21*$Q$1</f>
        <v>144896.72323906701</v>
      </c>
      <c r="R23" s="1">
        <f t="shared" ref="R23:V23" si="20">$P23+R21*$Q$1</f>
        <v>147005.07323906702</v>
      </c>
      <c r="S23" s="1">
        <f t="shared" si="20"/>
        <v>149113.42323906702</v>
      </c>
      <c r="T23" s="1">
        <f t="shared" si="20"/>
        <v>151221.773239067</v>
      </c>
      <c r="U23" s="1">
        <f t="shared" si="20"/>
        <v>153330.123239067</v>
      </c>
      <c r="V23" s="1">
        <f t="shared" si="20"/>
        <v>155438.47323906701</v>
      </c>
    </row>
    <row r="24" spans="1:22" x14ac:dyDescent="0.3">
      <c r="G24" s="4">
        <v>34703.14</v>
      </c>
      <c r="H24" s="1">
        <v>1.01</v>
      </c>
      <c r="I24" s="1">
        <v>5483900.5722656297</v>
      </c>
      <c r="L24" s="1">
        <f>(G24-K24)</f>
        <v>34703.14</v>
      </c>
      <c r="M24" s="1" t="e">
        <f>(G24-K24)/K24*1000000</f>
        <v>#DIV/0!</v>
      </c>
      <c r="O24" s="1">
        <v>8</v>
      </c>
      <c r="P24" s="1" t="str">
        <f>O24&amp;$P$2</f>
        <v>8[12]</v>
      </c>
      <c r="Q24" s="1">
        <f>Q$23+$O24*$Q$2</f>
        <v>158639.36323906702</v>
      </c>
      <c r="R24" s="1">
        <f t="shared" ref="R24:V28" si="21">R$23+$O24*$Q$2</f>
        <v>160747.713239067</v>
      </c>
      <c r="S24" s="5">
        <f t="shared" si="21"/>
        <v>162856.06323906704</v>
      </c>
      <c r="T24" s="1">
        <f t="shared" si="21"/>
        <v>164964.41323906701</v>
      </c>
      <c r="U24" s="1">
        <f t="shared" si="21"/>
        <v>167072.76323906699</v>
      </c>
      <c r="V24" s="1">
        <f t="shared" si="21"/>
        <v>169181.11323906702</v>
      </c>
    </row>
    <row r="25" spans="1:22" x14ac:dyDescent="0.3">
      <c r="G25" s="4">
        <v>104083.26</v>
      </c>
      <c r="H25" s="1">
        <v>0.99</v>
      </c>
      <c r="I25" s="1">
        <v>5369929.484375</v>
      </c>
      <c r="L25" s="1">
        <f>(G25-K25)</f>
        <v>104083.26</v>
      </c>
      <c r="M25" s="1" t="e">
        <f>(G25-K25)/K25*1000000</f>
        <v>#DIV/0!</v>
      </c>
      <c r="O25" s="1">
        <v>6</v>
      </c>
      <c r="P25" s="1" t="str">
        <f t="shared" ref="P25:P28" si="22">O25&amp;$P$2</f>
        <v>6[12]</v>
      </c>
      <c r="Q25" s="1">
        <f t="shared" ref="Q25:Q28" si="23">Q$23+$O25*$Q$2</f>
        <v>155203.70323906702</v>
      </c>
      <c r="R25" s="1">
        <f t="shared" si="21"/>
        <v>157312.05323906703</v>
      </c>
      <c r="S25" s="1">
        <f t="shared" si="21"/>
        <v>159420.40323906703</v>
      </c>
      <c r="T25" s="1">
        <f t="shared" si="21"/>
        <v>161528.75323906701</v>
      </c>
      <c r="U25" s="1">
        <f t="shared" si="21"/>
        <v>163637.10323906702</v>
      </c>
      <c r="V25" s="1">
        <f t="shared" si="21"/>
        <v>165745.45323906702</v>
      </c>
    </row>
    <row r="26" spans="1:22" x14ac:dyDescent="0.3">
      <c r="G26" s="4">
        <v>29318.47</v>
      </c>
      <c r="H26" s="1">
        <v>0.99</v>
      </c>
      <c r="I26" s="1">
        <v>5356976.4296875</v>
      </c>
      <c r="L26" s="1">
        <f>(G26-K26)</f>
        <v>29318.47</v>
      </c>
      <c r="M26" s="1" t="e">
        <f>(G26-K26)/K26*1000000</f>
        <v>#DIV/0!</v>
      </c>
      <c r="O26" s="1">
        <v>4</v>
      </c>
      <c r="P26" s="1" t="str">
        <f t="shared" si="22"/>
        <v>4[12]</v>
      </c>
      <c r="Q26" s="1">
        <f t="shared" si="23"/>
        <v>151768.04323906702</v>
      </c>
      <c r="R26" s="1">
        <f t="shared" si="21"/>
        <v>153876.39323906702</v>
      </c>
      <c r="S26" s="1">
        <f t="shared" si="21"/>
        <v>155984.74323906703</v>
      </c>
      <c r="T26" s="1">
        <f t="shared" si="21"/>
        <v>158093.09323906701</v>
      </c>
      <c r="U26" s="1">
        <f t="shared" si="21"/>
        <v>160201.44323906701</v>
      </c>
      <c r="V26" s="1">
        <f t="shared" si="21"/>
        <v>162309.79323906702</v>
      </c>
    </row>
    <row r="27" spans="1:22" x14ac:dyDescent="0.3">
      <c r="G27" s="1">
        <v>23384.97</v>
      </c>
      <c r="H27" s="1">
        <v>0.79</v>
      </c>
      <c r="I27" s="1">
        <v>4265099.3359375</v>
      </c>
      <c r="J27" s="1" t="s">
        <v>77</v>
      </c>
      <c r="K27" s="1">
        <v>23390.09</v>
      </c>
      <c r="L27" s="1">
        <f>(G27-K27)</f>
        <v>-5.1199999999989814</v>
      </c>
      <c r="M27" s="1">
        <f>(G27-K27)/K27*1000000</f>
        <v>-218.89612224660021</v>
      </c>
      <c r="O27" s="1">
        <v>2</v>
      </c>
      <c r="P27" s="1" t="str">
        <f t="shared" si="22"/>
        <v>2[12]</v>
      </c>
      <c r="Q27" s="1">
        <f t="shared" si="23"/>
        <v>148332.38323906701</v>
      </c>
      <c r="R27" s="1">
        <f t="shared" si="21"/>
        <v>150440.73323906702</v>
      </c>
      <c r="S27" s="1">
        <f t="shared" si="21"/>
        <v>152549.08323906703</v>
      </c>
      <c r="T27" s="1">
        <f t="shared" si="21"/>
        <v>154657.433239067</v>
      </c>
      <c r="U27" s="1">
        <f t="shared" si="21"/>
        <v>156765.78323906701</v>
      </c>
      <c r="V27" s="1">
        <f t="shared" si="21"/>
        <v>158874.13323906701</v>
      </c>
    </row>
    <row r="28" spans="1:22" x14ac:dyDescent="0.3">
      <c r="G28" s="1">
        <v>81430.45</v>
      </c>
      <c r="H28" s="1">
        <v>0.71</v>
      </c>
      <c r="I28" s="1">
        <v>3850545.5424804701</v>
      </c>
      <c r="J28" s="1" t="s">
        <v>80</v>
      </c>
      <c r="K28" s="1">
        <v>81442.050000000017</v>
      </c>
      <c r="L28" s="1">
        <f>(G28-K28)</f>
        <v>-11.600000000020373</v>
      </c>
      <c r="M28" s="1">
        <f>(G28-K28)/K28*1000000</f>
        <v>-142.43256401355774</v>
      </c>
      <c r="O28" s="1">
        <v>0</v>
      </c>
      <c r="P28" s="1" t="str">
        <f t="shared" si="22"/>
        <v>0[12]</v>
      </c>
      <c r="Q28" s="1">
        <f t="shared" si="23"/>
        <v>144896.72323906701</v>
      </c>
      <c r="R28" s="1">
        <f t="shared" si="21"/>
        <v>147005.07323906702</v>
      </c>
      <c r="S28" s="1">
        <f t="shared" si="21"/>
        <v>149113.42323906702</v>
      </c>
      <c r="T28" s="1">
        <f t="shared" si="21"/>
        <v>151221.773239067</v>
      </c>
      <c r="U28" s="1">
        <f t="shared" si="21"/>
        <v>153330.123239067</v>
      </c>
      <c r="V28" s="1">
        <f t="shared" si="21"/>
        <v>155438.47323906701</v>
      </c>
    </row>
    <row r="29" spans="1:22" x14ac:dyDescent="0.3">
      <c r="G29" s="4">
        <v>81313.119999999995</v>
      </c>
      <c r="H29" s="1">
        <v>0.69</v>
      </c>
      <c r="I29" s="1">
        <v>3738237.2634277302</v>
      </c>
      <c r="J29" s="1" t="s">
        <v>16</v>
      </c>
      <c r="K29" s="1">
        <f>162597.177702252/2</f>
        <v>81298.588851125998</v>
      </c>
      <c r="L29" s="1">
        <f>(G29-K29)</f>
        <v>14.531148873997154</v>
      </c>
      <c r="M29" s="1">
        <f>(G29-K29)/K29*1000000</f>
        <v>178.73802090964455</v>
      </c>
    </row>
    <row r="30" spans="1:22" x14ac:dyDescent="0.3">
      <c r="G30" s="4">
        <v>69547.12</v>
      </c>
      <c r="H30" s="1">
        <v>0.67</v>
      </c>
      <c r="I30" s="1">
        <v>3647877.23046875</v>
      </c>
      <c r="L30" s="1">
        <f>(G30-K30)</f>
        <v>69547.12</v>
      </c>
      <c r="M30" s="1" t="e">
        <f>(G30-K30)/K30*1000000</f>
        <v>#DIV/0!</v>
      </c>
      <c r="Q30" s="1">
        <v>0</v>
      </c>
      <c r="R30" s="1">
        <v>1</v>
      </c>
      <c r="S30" s="1">
        <v>2</v>
      </c>
      <c r="T30" s="1">
        <v>3</v>
      </c>
      <c r="U30" s="1">
        <v>4</v>
      </c>
      <c r="V30" s="1">
        <v>5</v>
      </c>
    </row>
    <row r="31" spans="1:22" x14ac:dyDescent="0.3">
      <c r="G31" s="1">
        <v>161298.76</v>
      </c>
      <c r="H31" s="1">
        <v>0.65</v>
      </c>
      <c r="I31" s="1">
        <v>3539834.984375</v>
      </c>
      <c r="J31" s="1" t="s">
        <v>24</v>
      </c>
      <c r="K31" s="1">
        <v>161269.867702252</v>
      </c>
      <c r="L31" s="1">
        <f>(G31-K31)</f>
        <v>28.892297748010606</v>
      </c>
      <c r="M31" s="1">
        <f>(G31-K31)/K31*1000000</f>
        <v>179.15496651459799</v>
      </c>
      <c r="Q31" s="1" t="str">
        <f>Q30&amp;$P$1</f>
        <v>0[4]</v>
      </c>
      <c r="R31" s="1" t="str">
        <f t="shared" ref="R31:V31" si="24">R30&amp;$P$1</f>
        <v>1[4]</v>
      </c>
      <c r="S31" s="1" t="str">
        <f t="shared" si="24"/>
        <v>2[4]</v>
      </c>
      <c r="T31" s="1" t="str">
        <f t="shared" si="24"/>
        <v>3[4]</v>
      </c>
      <c r="U31" s="1" t="str">
        <f t="shared" si="24"/>
        <v>4[4]</v>
      </c>
      <c r="V31" s="1" t="str">
        <f t="shared" si="24"/>
        <v>5[4]</v>
      </c>
    </row>
    <row r="32" spans="1:22" x14ac:dyDescent="0.3">
      <c r="G32" s="1">
        <v>158401.60000000001</v>
      </c>
      <c r="H32" s="1">
        <v>0.6</v>
      </c>
      <c r="I32" s="1">
        <v>3269977.1176757799</v>
      </c>
      <c r="J32" s="1" t="s">
        <v>26</v>
      </c>
      <c r="K32" s="1">
        <v>158380.47770225201</v>
      </c>
      <c r="L32" s="1">
        <f>(G32-K32)</f>
        <v>21.122297747991979</v>
      </c>
      <c r="M32" s="1">
        <f>(G32-K32)/K32*1000000</f>
        <v>133.36427604228425</v>
      </c>
      <c r="O32" s="1" t="s">
        <v>77</v>
      </c>
      <c r="P32" s="1">
        <v>23390.09</v>
      </c>
      <c r="Q32" s="1">
        <f>$P32+Q30*$Q$1</f>
        <v>23390.09</v>
      </c>
      <c r="R32" s="1">
        <f t="shared" ref="R32:V32" si="25">$P32+R30*$Q$1</f>
        <v>25498.44</v>
      </c>
      <c r="S32" s="1">
        <f t="shared" si="25"/>
        <v>27606.79</v>
      </c>
      <c r="T32" s="1">
        <f t="shared" si="25"/>
        <v>29715.14</v>
      </c>
      <c r="U32" s="1">
        <f t="shared" si="25"/>
        <v>31823.489999999998</v>
      </c>
      <c r="V32" s="1">
        <f t="shared" si="25"/>
        <v>33931.839999999997</v>
      </c>
    </row>
    <row r="33" spans="7:22" x14ac:dyDescent="0.3">
      <c r="G33" s="4">
        <v>163016.07</v>
      </c>
      <c r="H33" s="1">
        <v>0.59</v>
      </c>
      <c r="I33" s="1">
        <v>3220432.64453125</v>
      </c>
      <c r="L33" s="1">
        <f>(G33-K33)</f>
        <v>163016.07</v>
      </c>
      <c r="M33" s="1" t="e">
        <f>(G33-K33)/K33*1000000</f>
        <v>#DIV/0!</v>
      </c>
      <c r="O33" s="1">
        <v>4</v>
      </c>
      <c r="P33" s="1" t="str">
        <f>O33&amp;$P$2</f>
        <v>4[12]</v>
      </c>
      <c r="Q33" s="1">
        <f>Q$32+$O33*$Q$2</f>
        <v>30261.41</v>
      </c>
      <c r="R33" s="1">
        <f t="shared" ref="R33:V37" si="26">R$32+$O33*$Q$2</f>
        <v>32369.759999999998</v>
      </c>
      <c r="S33" s="1">
        <f t="shared" si="26"/>
        <v>34478.11</v>
      </c>
      <c r="T33" s="1">
        <f t="shared" si="26"/>
        <v>36586.46</v>
      </c>
      <c r="U33" s="1">
        <f t="shared" si="26"/>
        <v>38694.81</v>
      </c>
      <c r="V33" s="1">
        <f t="shared" si="26"/>
        <v>40803.159999999996</v>
      </c>
    </row>
    <row r="34" spans="7:22" x14ac:dyDescent="0.3">
      <c r="G34" s="4">
        <v>27099.38</v>
      </c>
      <c r="H34" s="1">
        <v>0.59</v>
      </c>
      <c r="I34" s="1">
        <v>3191632.09375</v>
      </c>
      <c r="L34" s="1">
        <f>(G34-K34)</f>
        <v>27099.38</v>
      </c>
      <c r="M34" s="1" t="e">
        <f>(G34-K34)/K34*1000000</f>
        <v>#DIV/0!</v>
      </c>
      <c r="O34" s="1">
        <v>3</v>
      </c>
      <c r="P34" s="1" t="str">
        <f t="shared" ref="P34:P37" si="27">O34&amp;$P$2</f>
        <v>3[12]</v>
      </c>
      <c r="Q34" s="1">
        <f t="shared" ref="Q34:Q37" si="28">Q$32+$O34*$Q$2</f>
        <v>28543.58</v>
      </c>
      <c r="R34" s="1">
        <f t="shared" si="26"/>
        <v>30651.93</v>
      </c>
      <c r="S34" s="1">
        <f t="shared" si="26"/>
        <v>32760.28</v>
      </c>
      <c r="T34" s="1">
        <f t="shared" si="26"/>
        <v>34868.629999999997</v>
      </c>
      <c r="U34" s="1">
        <f t="shared" si="26"/>
        <v>36976.979999999996</v>
      </c>
      <c r="V34" s="1">
        <f t="shared" si="26"/>
        <v>39085.329999999994</v>
      </c>
    </row>
    <row r="35" spans="7:22" x14ac:dyDescent="0.3">
      <c r="G35" s="4">
        <v>54213.93</v>
      </c>
      <c r="H35" s="1">
        <v>0.53</v>
      </c>
      <c r="I35" s="1">
        <v>2870572.9755859398</v>
      </c>
      <c r="J35" s="1" t="s">
        <v>82</v>
      </c>
      <c r="K35" s="1">
        <v>54225.78</v>
      </c>
      <c r="L35" s="1">
        <f>(G35-K35)</f>
        <v>-11.849999999998545</v>
      </c>
      <c r="M35" s="1">
        <f>(G35-K35)/K35*1000000</f>
        <v>-218.53074312621314</v>
      </c>
      <c r="O35" s="1">
        <v>2</v>
      </c>
      <c r="P35" s="1" t="str">
        <f t="shared" si="27"/>
        <v>2[12]</v>
      </c>
      <c r="Q35" s="1">
        <f t="shared" si="28"/>
        <v>26825.75</v>
      </c>
      <c r="R35" s="1">
        <f t="shared" si="26"/>
        <v>28934.1</v>
      </c>
      <c r="S35" s="1">
        <f t="shared" si="26"/>
        <v>31042.45</v>
      </c>
      <c r="T35" s="1">
        <f t="shared" si="26"/>
        <v>33150.800000000003</v>
      </c>
      <c r="U35" s="1">
        <f t="shared" si="26"/>
        <v>35259.149999999994</v>
      </c>
      <c r="V35" s="1">
        <f t="shared" si="26"/>
        <v>37367.5</v>
      </c>
    </row>
    <row r="36" spans="7:22" x14ac:dyDescent="0.3">
      <c r="G36" s="7">
        <v>25099.759999999998</v>
      </c>
      <c r="H36" s="1">
        <v>0.4</v>
      </c>
      <c r="I36" s="1">
        <v>2163256.91015625</v>
      </c>
      <c r="J36" s="1" t="s">
        <v>73</v>
      </c>
      <c r="K36" s="1">
        <v>25107.919999999998</v>
      </c>
      <c r="L36" s="1">
        <f>(G36-K36)</f>
        <v>-8.1599999999998545</v>
      </c>
      <c r="M36" s="1">
        <f>(G36-K36)/K36*1000000</f>
        <v>-324.99705272280039</v>
      </c>
      <c r="O36" s="1">
        <v>1</v>
      </c>
      <c r="P36" s="1" t="str">
        <f t="shared" si="27"/>
        <v>1[12]</v>
      </c>
      <c r="Q36" s="5">
        <f t="shared" si="28"/>
        <v>25107.919999999998</v>
      </c>
      <c r="R36" s="5">
        <f t="shared" si="26"/>
        <v>27216.269999999997</v>
      </c>
      <c r="S36" s="1">
        <f t="shared" si="26"/>
        <v>29324.620000000003</v>
      </c>
      <c r="T36" s="1">
        <f t="shared" si="26"/>
        <v>31432.97</v>
      </c>
      <c r="U36" s="1">
        <f t="shared" si="26"/>
        <v>33541.32</v>
      </c>
      <c r="V36" s="1">
        <f t="shared" si="26"/>
        <v>35649.67</v>
      </c>
    </row>
    <row r="37" spans="7:22" x14ac:dyDescent="0.3">
      <c r="G37" s="7">
        <v>162904.45000000001</v>
      </c>
      <c r="H37" s="1">
        <v>0.36</v>
      </c>
      <c r="I37" s="1">
        <v>1968235.3183593799</v>
      </c>
      <c r="J37" s="1" t="s">
        <v>16</v>
      </c>
      <c r="K37" s="1">
        <v>162856.06323906704</v>
      </c>
      <c r="L37" s="1">
        <f>(G37-K37)</f>
        <v>48.386760932975449</v>
      </c>
      <c r="M37" s="1">
        <f>(G37-K37)/K37*1000000</f>
        <v>297.11365957523708</v>
      </c>
      <c r="O37" s="1">
        <v>0</v>
      </c>
      <c r="P37" s="1" t="str">
        <f t="shared" si="27"/>
        <v>0[12]</v>
      </c>
      <c r="Q37" s="5">
        <f t="shared" si="28"/>
        <v>23390.09</v>
      </c>
      <c r="R37" s="5">
        <f t="shared" si="26"/>
        <v>25498.44</v>
      </c>
      <c r="S37" s="1">
        <f t="shared" si="26"/>
        <v>27606.79</v>
      </c>
      <c r="T37" s="1">
        <f t="shared" si="26"/>
        <v>29715.14</v>
      </c>
      <c r="U37" s="1">
        <f t="shared" si="26"/>
        <v>31823.489999999998</v>
      </c>
      <c r="V37" s="1">
        <f t="shared" si="26"/>
        <v>33931.839999999997</v>
      </c>
    </row>
    <row r="38" spans="7:22" x14ac:dyDescent="0.3">
      <c r="G38" s="4">
        <v>161916.96</v>
      </c>
      <c r="H38" s="1">
        <v>0.34</v>
      </c>
      <c r="I38" s="1">
        <v>1858039.953125</v>
      </c>
      <c r="L38" s="1">
        <f>(G38-K38)</f>
        <v>161916.96</v>
      </c>
      <c r="M38" s="1" t="e">
        <f>(G38-K38)/K38*1000000</f>
        <v>#DIV/0!</v>
      </c>
    </row>
    <row r="39" spans="7:22" x14ac:dyDescent="0.3">
      <c r="G39" s="4">
        <v>27165.68</v>
      </c>
      <c r="H39" s="1">
        <v>0.33</v>
      </c>
      <c r="I39" s="1">
        <v>1790351.2373046901</v>
      </c>
      <c r="L39" s="1">
        <f>(G39-K39)</f>
        <v>27165.68</v>
      </c>
      <c r="M39" s="1" t="e">
        <f>(G39-K39)/K39*1000000</f>
        <v>#DIV/0!</v>
      </c>
      <c r="Q39" s="1">
        <v>0</v>
      </c>
      <c r="R39" s="1">
        <v>1</v>
      </c>
      <c r="S39" s="1">
        <v>2</v>
      </c>
      <c r="T39" s="1">
        <v>3</v>
      </c>
      <c r="U39" s="1">
        <v>4</v>
      </c>
      <c r="V39" s="1">
        <v>5</v>
      </c>
    </row>
    <row r="40" spans="7:22" x14ac:dyDescent="0.3">
      <c r="G40" s="7">
        <v>155741.12</v>
      </c>
      <c r="H40" s="1">
        <v>0.31</v>
      </c>
      <c r="I40" s="1">
        <v>1675532.69140625</v>
      </c>
      <c r="J40" s="1" t="s">
        <v>28</v>
      </c>
      <c r="K40" s="1">
        <v>155725.85770225202</v>
      </c>
      <c r="L40" s="1">
        <f>(G40-K40)</f>
        <v>15.262297747976845</v>
      </c>
      <c r="M40" s="1">
        <f>(G40-K40)/K40*1000000</f>
        <v>98.007472703463108</v>
      </c>
      <c r="Q40" s="1" t="str">
        <f>Q39&amp;$P$1</f>
        <v>0[4]</v>
      </c>
      <c r="R40" s="1" t="str">
        <f t="shared" ref="R40:V40" si="29">R39&amp;$P$1</f>
        <v>1[4]</v>
      </c>
      <c r="S40" s="1" t="str">
        <f t="shared" si="29"/>
        <v>2[4]</v>
      </c>
      <c r="T40" s="1" t="str">
        <f t="shared" si="29"/>
        <v>3[4]</v>
      </c>
      <c r="U40" s="1" t="str">
        <f t="shared" si="29"/>
        <v>4[4]</v>
      </c>
      <c r="V40" s="1" t="str">
        <f t="shared" si="29"/>
        <v>5[4]</v>
      </c>
    </row>
    <row r="41" spans="7:22" x14ac:dyDescent="0.3">
      <c r="G41" s="7">
        <v>162607.44</v>
      </c>
      <c r="H41" s="1">
        <v>0.31</v>
      </c>
      <c r="I41" s="1">
        <v>1665807.375</v>
      </c>
      <c r="J41" s="1" t="s">
        <v>16</v>
      </c>
      <c r="K41" s="1">
        <v>162597.17770225203</v>
      </c>
      <c r="L41" s="1">
        <f>(G41-K41)</f>
        <v>10.262297747976845</v>
      </c>
      <c r="M41" s="1">
        <f>(G41-K41)/K41*1000000</f>
        <v>63.114857791499716</v>
      </c>
      <c r="O41" s="1" t="s">
        <v>78</v>
      </c>
      <c r="P41" s="1">
        <f>49089.29-17</f>
        <v>49072.29</v>
      </c>
      <c r="Q41" s="1">
        <f>$P41+Q39*$Q$1</f>
        <v>49072.29</v>
      </c>
      <c r="R41" s="1">
        <f t="shared" ref="R41:V41" si="30">$P41+R39*$Q$1</f>
        <v>51180.639999999999</v>
      </c>
      <c r="S41" s="1">
        <f t="shared" si="30"/>
        <v>53288.99</v>
      </c>
      <c r="T41" s="1">
        <f t="shared" si="30"/>
        <v>55397.34</v>
      </c>
      <c r="U41" s="1">
        <f t="shared" si="30"/>
        <v>57505.69</v>
      </c>
      <c r="V41" s="1">
        <f t="shared" si="30"/>
        <v>59614.04</v>
      </c>
    </row>
    <row r="42" spans="7:22" x14ac:dyDescent="0.3">
      <c r="G42" s="4">
        <v>83408.69</v>
      </c>
      <c r="H42" s="1">
        <v>0.31</v>
      </c>
      <c r="I42" s="1">
        <v>1663546.6435546901</v>
      </c>
      <c r="L42" s="1">
        <f>(G42-K42)</f>
        <v>83408.69</v>
      </c>
      <c r="M42" s="1" t="e">
        <f>(G42-K42)/K42*1000000</f>
        <v>#DIV/0!</v>
      </c>
      <c r="O42" s="1">
        <v>4</v>
      </c>
      <c r="P42" s="1" t="str">
        <f>O42&amp;$P$2</f>
        <v>4[12]</v>
      </c>
      <c r="Q42" s="1">
        <f>Q$41+$O42*$Q$2</f>
        <v>55943.61</v>
      </c>
      <c r="R42" s="1">
        <f t="shared" ref="R42:V46" si="31">R$41+$O42*$Q$2</f>
        <v>58051.96</v>
      </c>
      <c r="S42" s="1">
        <f t="shared" si="31"/>
        <v>60160.31</v>
      </c>
      <c r="T42" s="1">
        <f t="shared" si="31"/>
        <v>62268.659999999996</v>
      </c>
      <c r="U42" s="1">
        <f t="shared" si="31"/>
        <v>64377.01</v>
      </c>
      <c r="V42" s="1">
        <f t="shared" si="31"/>
        <v>66485.36</v>
      </c>
    </row>
    <row r="43" spans="7:22" x14ac:dyDescent="0.3">
      <c r="G43" s="4">
        <v>20325.23</v>
      </c>
      <c r="H43" s="1">
        <v>0.3</v>
      </c>
      <c r="I43" s="1">
        <v>1610264.78125</v>
      </c>
      <c r="L43" s="1">
        <f>(G43-K43)</f>
        <v>20325.23</v>
      </c>
      <c r="M43" s="1" t="e">
        <f>(G43-K43)/K43*1000000</f>
        <v>#DIV/0!</v>
      </c>
      <c r="O43" s="1">
        <v>3</v>
      </c>
      <c r="P43" s="1" t="str">
        <f t="shared" ref="P43:P46" si="32">O43&amp;$P$2</f>
        <v>3[12]</v>
      </c>
      <c r="Q43" s="5">
        <f t="shared" ref="Q43:Q46" si="33">Q$41+$O43*$Q$2</f>
        <v>54225.78</v>
      </c>
      <c r="R43" s="1">
        <f t="shared" si="31"/>
        <v>56334.13</v>
      </c>
      <c r="S43" s="1">
        <f t="shared" si="31"/>
        <v>58442.479999999996</v>
      </c>
      <c r="T43" s="1">
        <f t="shared" si="31"/>
        <v>60550.829999999994</v>
      </c>
      <c r="U43" s="1">
        <f t="shared" si="31"/>
        <v>62659.18</v>
      </c>
      <c r="V43" s="1">
        <f t="shared" si="31"/>
        <v>64767.53</v>
      </c>
    </row>
    <row r="44" spans="7:22" x14ac:dyDescent="0.3">
      <c r="G44" s="7">
        <v>157086.57999999999</v>
      </c>
      <c r="H44" s="1">
        <v>0.28999999999999998</v>
      </c>
      <c r="I44" s="1">
        <v>1577332.609375</v>
      </c>
      <c r="J44" s="1" t="s">
        <v>30</v>
      </c>
      <c r="K44" s="1">
        <v>157053.16770225202</v>
      </c>
      <c r="L44" s="1">
        <f>(G44-K44)</f>
        <v>33.412297747971024</v>
      </c>
      <c r="M44" s="1">
        <f>(G44-K44)/K44*1000000</f>
        <v>212.74513743852313</v>
      </c>
      <c r="O44" s="1">
        <v>2</v>
      </c>
      <c r="P44" s="1" t="str">
        <f t="shared" si="32"/>
        <v>2[12]</v>
      </c>
      <c r="Q44" s="1">
        <f t="shared" si="33"/>
        <v>52507.95</v>
      </c>
      <c r="R44" s="1">
        <f t="shared" si="31"/>
        <v>54616.3</v>
      </c>
      <c r="S44" s="1">
        <f t="shared" si="31"/>
        <v>56724.649999999994</v>
      </c>
      <c r="T44" s="1">
        <f t="shared" si="31"/>
        <v>58833</v>
      </c>
      <c r="U44" s="1">
        <f t="shared" si="31"/>
        <v>60941.350000000006</v>
      </c>
      <c r="V44" s="1">
        <f t="shared" si="31"/>
        <v>63049.7</v>
      </c>
    </row>
    <row r="45" spans="7:22" x14ac:dyDescent="0.3">
      <c r="G45" s="4">
        <v>54420.49</v>
      </c>
      <c r="H45" s="1">
        <v>0.28999999999999998</v>
      </c>
      <c r="I45" s="1">
        <v>1575610.15234375</v>
      </c>
      <c r="L45" s="1">
        <f>(G45-K45)</f>
        <v>54420.49</v>
      </c>
      <c r="M45" s="1" t="e">
        <f>(G45-K45)/K45*1000000</f>
        <v>#DIV/0!</v>
      </c>
      <c r="O45" s="1">
        <v>1</v>
      </c>
      <c r="P45" s="1" t="str">
        <f t="shared" si="32"/>
        <v>1[12]</v>
      </c>
      <c r="Q45" s="1">
        <f t="shared" si="33"/>
        <v>50790.12</v>
      </c>
      <c r="R45" s="1">
        <f t="shared" si="31"/>
        <v>52898.47</v>
      </c>
      <c r="S45" s="1">
        <f t="shared" si="31"/>
        <v>55006.82</v>
      </c>
      <c r="T45" s="1">
        <f t="shared" si="31"/>
        <v>57115.17</v>
      </c>
      <c r="U45" s="1">
        <f t="shared" si="31"/>
        <v>59223.520000000004</v>
      </c>
      <c r="V45" s="1">
        <f t="shared" si="31"/>
        <v>61331.87</v>
      </c>
    </row>
    <row r="46" spans="7:22" x14ac:dyDescent="0.3">
      <c r="G46" s="4">
        <v>79397.27</v>
      </c>
      <c r="H46" s="1">
        <v>0.28000000000000003</v>
      </c>
      <c r="I46" s="1">
        <v>1535191.796875</v>
      </c>
      <c r="L46" s="1">
        <f>(G46-K46)</f>
        <v>79397.27</v>
      </c>
      <c r="M46" s="1" t="e">
        <f>(G46-K46)/K46*1000000</f>
        <v>#DIV/0!</v>
      </c>
      <c r="O46" s="1">
        <v>0</v>
      </c>
      <c r="P46" s="1" t="str">
        <f t="shared" si="32"/>
        <v>0[12]</v>
      </c>
      <c r="Q46" s="1">
        <f t="shared" si="33"/>
        <v>49072.29</v>
      </c>
      <c r="R46" s="1">
        <f t="shared" si="31"/>
        <v>51180.639999999999</v>
      </c>
      <c r="S46" s="1">
        <f t="shared" si="31"/>
        <v>53288.99</v>
      </c>
      <c r="T46" s="1">
        <f t="shared" si="31"/>
        <v>55397.34</v>
      </c>
      <c r="U46" s="1">
        <f t="shared" si="31"/>
        <v>57505.69</v>
      </c>
      <c r="V46" s="1">
        <f t="shared" si="31"/>
        <v>59614.04</v>
      </c>
    </row>
    <row r="47" spans="7:22" x14ac:dyDescent="0.3">
      <c r="G47" s="7">
        <v>147083.69</v>
      </c>
      <c r="H47" s="1">
        <v>0.23</v>
      </c>
      <c r="I47" s="1">
        <v>1259089.734375</v>
      </c>
      <c r="L47" s="1">
        <f>(G47-K47)</f>
        <v>147083.69</v>
      </c>
      <c r="M47" s="1" t="e">
        <f>(G47-K47)/K47*1000000</f>
        <v>#DIV/0!</v>
      </c>
    </row>
    <row r="48" spans="7:22" x14ac:dyDescent="0.3">
      <c r="G48" s="7">
        <v>131788.94</v>
      </c>
      <c r="H48" s="1">
        <v>0.23</v>
      </c>
      <c r="I48" s="1">
        <v>1239138.1621093799</v>
      </c>
      <c r="L48" s="1">
        <f>(G48-K48)</f>
        <v>131788.94</v>
      </c>
      <c r="M48" s="1" t="e">
        <f>(G48-K48)/K48*1000000</f>
        <v>#DIV/0!</v>
      </c>
      <c r="Q48" s="1">
        <v>0</v>
      </c>
      <c r="R48" s="1">
        <v>1</v>
      </c>
      <c r="S48" s="1">
        <v>2</v>
      </c>
      <c r="T48" s="1">
        <v>3</v>
      </c>
      <c r="U48" s="1">
        <v>4</v>
      </c>
      <c r="V48" s="1">
        <v>5</v>
      </c>
    </row>
    <row r="49" spans="7:22" x14ac:dyDescent="0.3">
      <c r="G49" s="7">
        <v>101816.62</v>
      </c>
      <c r="H49" s="1">
        <v>0.21</v>
      </c>
      <c r="I49" s="1">
        <v>1158142.8535156299</v>
      </c>
      <c r="L49" s="1">
        <f>(G49-K49)</f>
        <v>101816.62</v>
      </c>
      <c r="M49" s="1" t="e">
        <f>(G49-K49)/K49*1000000</f>
        <v>#DIV/0!</v>
      </c>
      <c r="Q49" s="1" t="str">
        <f>Q48&amp;$P$1</f>
        <v>0[4]</v>
      </c>
      <c r="R49" s="1" t="str">
        <f t="shared" ref="R49:V49" si="34">R48&amp;$P$1</f>
        <v>1[4]</v>
      </c>
      <c r="S49" s="1" t="str">
        <f t="shared" si="34"/>
        <v>2[4]</v>
      </c>
      <c r="T49" s="1" t="str">
        <f t="shared" si="34"/>
        <v>3[4]</v>
      </c>
      <c r="U49" s="1" t="str">
        <f t="shared" si="34"/>
        <v>4[4]</v>
      </c>
      <c r="V49" s="1" t="str">
        <f t="shared" si="34"/>
        <v>5[4]</v>
      </c>
    </row>
    <row r="50" spans="7:22" x14ac:dyDescent="0.3">
      <c r="G50" s="7">
        <v>159330.14000000001</v>
      </c>
      <c r="H50" s="1">
        <v>0.21</v>
      </c>
      <c r="I50" s="1">
        <v>1125178.9140625</v>
      </c>
      <c r="L50" s="1">
        <f>(G50-K50)</f>
        <v>159330.14000000001</v>
      </c>
      <c r="M50" s="1" t="e">
        <f>(G50-K50)/K50*1000000</f>
        <v>#DIV/0!</v>
      </c>
      <c r="O50" s="1" t="s">
        <v>65</v>
      </c>
      <c r="P50" s="1">
        <f>72479.38-17</f>
        <v>72462.38</v>
      </c>
      <c r="Q50" s="1">
        <f>$P50+Q48*$Q$1</f>
        <v>72462.38</v>
      </c>
      <c r="R50" s="1">
        <f t="shared" ref="R50:V50" si="35">$P50+R48*$Q$1</f>
        <v>74570.73000000001</v>
      </c>
      <c r="S50" s="1">
        <f t="shared" si="35"/>
        <v>76679.08</v>
      </c>
      <c r="T50" s="1">
        <f t="shared" si="35"/>
        <v>78787.430000000008</v>
      </c>
      <c r="U50" s="1">
        <f t="shared" si="35"/>
        <v>80895.78</v>
      </c>
      <c r="V50" s="1">
        <f t="shared" si="35"/>
        <v>83004.13</v>
      </c>
    </row>
    <row r="51" spans="7:22" x14ac:dyDescent="0.3">
      <c r="G51" s="7">
        <v>94328.95</v>
      </c>
      <c r="H51" s="1">
        <v>0.2</v>
      </c>
      <c r="I51" s="1">
        <v>1091915.9296875</v>
      </c>
      <c r="L51" s="1">
        <f>(G51-K51)</f>
        <v>94328.95</v>
      </c>
      <c r="M51" s="1" t="e">
        <f>(G51-K51)/K51*1000000</f>
        <v>#DIV/0!</v>
      </c>
      <c r="O51" s="1">
        <v>4</v>
      </c>
      <c r="P51" s="1" t="str">
        <f>O51&amp;$P$2</f>
        <v>4[12]</v>
      </c>
      <c r="Q51" s="1">
        <f>Q$50+$O51*$Q$2</f>
        <v>79333.700000000012</v>
      </c>
      <c r="R51" s="5">
        <f t="shared" ref="R51:V55" si="36">R$50+$O51*$Q$2</f>
        <v>81442.050000000017</v>
      </c>
      <c r="S51" s="1">
        <f t="shared" si="36"/>
        <v>83550.399999999994</v>
      </c>
      <c r="T51" s="1">
        <f t="shared" si="36"/>
        <v>85658.75</v>
      </c>
      <c r="U51" s="1">
        <f t="shared" si="36"/>
        <v>87767.1</v>
      </c>
      <c r="V51" s="1">
        <f t="shared" si="36"/>
        <v>89875.450000000012</v>
      </c>
    </row>
    <row r="52" spans="7:22" x14ac:dyDescent="0.3">
      <c r="G52" s="7">
        <v>66519.19</v>
      </c>
      <c r="H52" s="1">
        <v>0.2</v>
      </c>
      <c r="I52" s="1">
        <v>1074603.7099609401</v>
      </c>
      <c r="L52" s="1">
        <f>(G52-K52)</f>
        <v>66519.19</v>
      </c>
      <c r="M52" s="1" t="e">
        <f>(G52-K52)/K52*1000000</f>
        <v>#DIV/0!</v>
      </c>
      <c r="O52" s="1">
        <v>3</v>
      </c>
      <c r="P52" s="1" t="str">
        <f t="shared" ref="P52:P55" si="37">O52&amp;$P$2</f>
        <v>3[12]</v>
      </c>
      <c r="Q52" s="1">
        <f t="shared" ref="Q52:Q55" si="38">Q$50+$O52*$Q$2</f>
        <v>77615.87000000001</v>
      </c>
      <c r="R52" s="1">
        <f t="shared" si="36"/>
        <v>79724.220000000016</v>
      </c>
      <c r="S52" s="1">
        <f t="shared" si="36"/>
        <v>81832.570000000007</v>
      </c>
      <c r="T52" s="1">
        <f t="shared" si="36"/>
        <v>83940.920000000013</v>
      </c>
      <c r="U52" s="1">
        <f t="shared" si="36"/>
        <v>86049.27</v>
      </c>
      <c r="V52" s="1">
        <f t="shared" si="36"/>
        <v>88157.62000000001</v>
      </c>
    </row>
    <row r="53" spans="7:22" x14ac:dyDescent="0.3">
      <c r="G53" s="7">
        <v>164868</v>
      </c>
      <c r="H53" s="1">
        <v>0.19</v>
      </c>
      <c r="I53" s="1">
        <v>1039834.875</v>
      </c>
      <c r="J53" s="1" t="s">
        <v>20</v>
      </c>
      <c r="K53" s="1">
        <v>164832.53299988899</v>
      </c>
      <c r="L53" s="1">
        <f>(G53-K53)</f>
        <v>35.4670001110062</v>
      </c>
      <c r="M53" s="1">
        <f>(G53-K53)/K53*1000000</f>
        <v>215.16990284333062</v>
      </c>
      <c r="O53" s="1">
        <v>2</v>
      </c>
      <c r="P53" s="1" t="str">
        <f t="shared" si="37"/>
        <v>2[12]</v>
      </c>
      <c r="Q53" s="1">
        <f t="shared" si="38"/>
        <v>75898.040000000008</v>
      </c>
      <c r="R53" s="1">
        <f t="shared" si="36"/>
        <v>78006.390000000014</v>
      </c>
      <c r="S53" s="1">
        <f t="shared" si="36"/>
        <v>80114.740000000005</v>
      </c>
      <c r="T53" s="1">
        <f t="shared" si="36"/>
        <v>82223.090000000011</v>
      </c>
      <c r="U53" s="1">
        <f t="shared" si="36"/>
        <v>84331.44</v>
      </c>
      <c r="V53" s="1">
        <f t="shared" si="36"/>
        <v>86439.790000000008</v>
      </c>
    </row>
    <row r="54" spans="7:22" x14ac:dyDescent="0.3">
      <c r="G54" s="7">
        <v>157849.48000000001</v>
      </c>
      <c r="H54" s="1">
        <v>0.18</v>
      </c>
      <c r="I54" s="1">
        <v>998186.0703125</v>
      </c>
      <c r="J54" s="1" t="s">
        <v>32</v>
      </c>
      <c r="K54" s="1">
        <v>157834.207702252</v>
      </c>
      <c r="L54" s="1">
        <f>(G54-K54)</f>
        <v>15.272297748015262</v>
      </c>
      <c r="M54" s="1">
        <f>(G54-K54)/K54*1000000</f>
        <v>96.76164609908804</v>
      </c>
      <c r="O54" s="1">
        <v>1</v>
      </c>
      <c r="P54" s="1" t="str">
        <f t="shared" si="37"/>
        <v>1[12]</v>
      </c>
      <c r="Q54" s="1">
        <f t="shared" si="38"/>
        <v>74180.210000000006</v>
      </c>
      <c r="R54" s="1">
        <f t="shared" si="36"/>
        <v>76288.560000000012</v>
      </c>
      <c r="S54" s="1">
        <f t="shared" si="36"/>
        <v>78396.91</v>
      </c>
      <c r="T54" s="1">
        <f t="shared" si="36"/>
        <v>80505.260000000009</v>
      </c>
      <c r="U54" s="1">
        <f t="shared" si="36"/>
        <v>82613.61</v>
      </c>
      <c r="V54" s="1">
        <f t="shared" si="36"/>
        <v>84721.96</v>
      </c>
    </row>
    <row r="55" spans="7:22" x14ac:dyDescent="0.3">
      <c r="G55" s="7">
        <v>129081.87</v>
      </c>
      <c r="H55" s="1">
        <v>0.17</v>
      </c>
      <c r="I55" s="1">
        <v>905430.6640625</v>
      </c>
      <c r="L55" s="1">
        <f>(G55-K55)</f>
        <v>129081.87</v>
      </c>
      <c r="M55" s="1" t="e">
        <f>(G55-K55)/K55*1000000</f>
        <v>#DIV/0!</v>
      </c>
      <c r="O55" s="1">
        <v>0</v>
      </c>
      <c r="P55" s="1" t="str">
        <f t="shared" si="37"/>
        <v>0[12]</v>
      </c>
      <c r="Q55" s="1">
        <f t="shared" si="38"/>
        <v>72462.38</v>
      </c>
      <c r="R55" s="1">
        <f t="shared" si="36"/>
        <v>74570.73000000001</v>
      </c>
      <c r="S55" s="1">
        <f t="shared" si="36"/>
        <v>76679.08</v>
      </c>
      <c r="T55" s="1">
        <f t="shared" si="36"/>
        <v>78787.430000000008</v>
      </c>
      <c r="U55" s="1">
        <f t="shared" si="36"/>
        <v>80895.78</v>
      </c>
      <c r="V55" s="1">
        <f t="shared" si="36"/>
        <v>83004.13</v>
      </c>
    </row>
    <row r="56" spans="7:22" x14ac:dyDescent="0.3">
      <c r="G56" s="7">
        <v>80257.53</v>
      </c>
      <c r="H56" s="1">
        <v>0.17</v>
      </c>
      <c r="I56" s="1">
        <v>901586.4453125</v>
      </c>
      <c r="L56" s="1">
        <f>(G56-K56)</f>
        <v>80257.53</v>
      </c>
      <c r="M56" s="1" t="e">
        <f>(G56-K56)/K56*1000000</f>
        <v>#DIV/0!</v>
      </c>
    </row>
    <row r="57" spans="7:22" x14ac:dyDescent="0.3">
      <c r="G57" s="7">
        <v>161044.91</v>
      </c>
      <c r="H57" s="1">
        <v>0.16</v>
      </c>
      <c r="I57" s="1">
        <v>851020.4296875</v>
      </c>
      <c r="L57" s="1">
        <f>(G57-K57)</f>
        <v>161044.91</v>
      </c>
      <c r="M57" s="1" t="e">
        <f>(G57-K57)/K57*1000000</f>
        <v>#DIV/0!</v>
      </c>
    </row>
    <row r="58" spans="7:22" x14ac:dyDescent="0.3">
      <c r="G58" s="7">
        <v>40717.47</v>
      </c>
      <c r="H58" s="1">
        <v>0.16</v>
      </c>
      <c r="I58" s="1">
        <v>847752.53222656297</v>
      </c>
      <c r="L58" s="1">
        <f>(G58-K58)</f>
        <v>40717.47</v>
      </c>
      <c r="M58" s="1" t="e">
        <f>(G58-K58)/K58*1000000</f>
        <v>#DIV/0!</v>
      </c>
    </row>
    <row r="59" spans="7:22" x14ac:dyDescent="0.3">
      <c r="G59" s="7">
        <v>56194.54</v>
      </c>
      <c r="H59" s="1">
        <v>0.15</v>
      </c>
      <c r="I59" s="1">
        <v>828314.744140625</v>
      </c>
      <c r="L59" s="1">
        <f>(G59-K59)</f>
        <v>56194.54</v>
      </c>
      <c r="M59" s="1" t="e">
        <f>(G59-K59)/K59*1000000</f>
        <v>#DIV/0!</v>
      </c>
    </row>
    <row r="60" spans="7:22" x14ac:dyDescent="0.3">
      <c r="G60" s="7">
        <v>34232.49</v>
      </c>
      <c r="H60" s="1">
        <v>0.15</v>
      </c>
      <c r="I60" s="1">
        <v>806453.859375</v>
      </c>
      <c r="L60" s="1">
        <f>(G60-K60)</f>
        <v>34232.49</v>
      </c>
      <c r="M60" s="1" t="e">
        <f>(G60-K60)/K60*1000000</f>
        <v>#DIV/0!</v>
      </c>
    </row>
    <row r="61" spans="7:22" x14ac:dyDescent="0.3">
      <c r="G61" s="7">
        <v>81314.320000000007</v>
      </c>
      <c r="H61" s="1">
        <v>0.13</v>
      </c>
      <c r="I61" s="1">
        <v>716381.640625</v>
      </c>
      <c r="J61" s="1" t="s">
        <v>16</v>
      </c>
      <c r="K61" s="1">
        <f>162597.177702252/2</f>
        <v>81298.588851125998</v>
      </c>
      <c r="L61" s="1">
        <f>(G61-K61)</f>
        <v>15.731148874008795</v>
      </c>
      <c r="M61" s="1">
        <f>(G61-K61)/K61*1000000</f>
        <v>193.49842471209041</v>
      </c>
    </row>
    <row r="62" spans="7:22" x14ac:dyDescent="0.3">
      <c r="G62" s="7">
        <v>58870.23</v>
      </c>
      <c r="H62" s="1">
        <v>0.13</v>
      </c>
      <c r="I62" s="1">
        <v>687667.96875</v>
      </c>
      <c r="L62" s="1">
        <f>(G62-K62)</f>
        <v>58870.23</v>
      </c>
      <c r="M62" s="1" t="e">
        <f>(G62-K62)/K62*1000000</f>
        <v>#DIV/0!</v>
      </c>
    </row>
    <row r="63" spans="7:22" x14ac:dyDescent="0.3">
      <c r="G63" s="7">
        <v>145805.60999999999</v>
      </c>
      <c r="H63" s="1">
        <v>0.12</v>
      </c>
      <c r="I63" s="1">
        <v>666742.375</v>
      </c>
      <c r="J63" s="1" t="s">
        <v>34</v>
      </c>
      <c r="K63" s="1">
        <v>145806.17484723599</v>
      </c>
      <c r="L63" s="1">
        <f>(G63-K63)</f>
        <v>-0.56484723600442521</v>
      </c>
      <c r="M63" s="1">
        <f>(G63-K63)/K63*1000000</f>
        <v>-3.8739596357714401</v>
      </c>
    </row>
    <row r="64" spans="7:22" x14ac:dyDescent="0.3">
      <c r="G64" s="7">
        <v>141167.24</v>
      </c>
      <c r="H64" s="1">
        <v>0.12</v>
      </c>
      <c r="I64" s="1">
        <v>627741.0703125</v>
      </c>
      <c r="L64" s="1">
        <f>(G64-K64)</f>
        <v>141167.24</v>
      </c>
      <c r="M64" s="1" t="e">
        <f>(G64-K64)/K64*1000000</f>
        <v>#DIV/0!</v>
      </c>
    </row>
    <row r="65" spans="7:13" x14ac:dyDescent="0.3">
      <c r="G65" s="7">
        <v>80327.22</v>
      </c>
      <c r="H65" s="1">
        <v>0.11</v>
      </c>
      <c r="I65" s="1">
        <v>583210.359375</v>
      </c>
      <c r="L65" s="1">
        <f>(G65-K65)</f>
        <v>80327.22</v>
      </c>
      <c r="M65" s="1" t="e">
        <f>(G65-K65)/K65*1000000</f>
        <v>#DIV/0!</v>
      </c>
    </row>
    <row r="66" spans="7:13" x14ac:dyDescent="0.3">
      <c r="G66" s="7">
        <v>25388.06</v>
      </c>
      <c r="H66" s="1">
        <v>0.11</v>
      </c>
      <c r="I66" s="1">
        <v>577721.31640625</v>
      </c>
      <c r="L66" s="1">
        <f>(G66-K66)</f>
        <v>25388.06</v>
      </c>
      <c r="M66" s="1" t="e">
        <f>(G66-K66)/K66*1000000</f>
        <v>#DIV/0!</v>
      </c>
    </row>
    <row r="67" spans="7:13" x14ac:dyDescent="0.3">
      <c r="G67" s="7">
        <v>78082.070000000007</v>
      </c>
      <c r="H67" s="1">
        <v>0.1</v>
      </c>
      <c r="I67" s="1">
        <v>544107.21875</v>
      </c>
      <c r="L67" s="1">
        <f>(G67-K67)</f>
        <v>78082.070000000007</v>
      </c>
      <c r="M67" s="1" t="e">
        <f>(G67-K67)/K67*1000000</f>
        <v>#DIV/0!</v>
      </c>
    </row>
    <row r="68" spans="7:13" x14ac:dyDescent="0.3">
      <c r="G68" s="7">
        <v>169176.37</v>
      </c>
      <c r="H68" s="1">
        <v>0.1</v>
      </c>
      <c r="I68" s="1">
        <v>541914.0859375</v>
      </c>
      <c r="L68" s="1">
        <f>(G68-K68)</f>
        <v>169176.37</v>
      </c>
      <c r="M68" s="1" t="e">
        <f>(G68-K68)/K68*1000000</f>
        <v>#DIV/0!</v>
      </c>
    </row>
    <row r="69" spans="7:13" x14ac:dyDescent="0.3">
      <c r="G69" s="7">
        <v>69682.59</v>
      </c>
      <c r="H69" s="1">
        <v>0.1</v>
      </c>
      <c r="I69" s="1">
        <v>538817.783203125</v>
      </c>
      <c r="L69" s="1">
        <f>(G69-K69)</f>
        <v>69682.59</v>
      </c>
      <c r="M69" s="1" t="e">
        <f>(G69-K69)/K69*1000000</f>
        <v>#DIV/0!</v>
      </c>
    </row>
    <row r="70" spans="7:13" x14ac:dyDescent="0.3">
      <c r="G70" s="7">
        <v>27103.7</v>
      </c>
      <c r="H70" s="1">
        <v>0.1</v>
      </c>
      <c r="I70" s="1">
        <v>537883.359375</v>
      </c>
      <c r="L70" s="1">
        <f>(G70-K70)</f>
        <v>27103.7</v>
      </c>
      <c r="M70" s="1" t="e">
        <f>(G70-K70)/K70*1000000</f>
        <v>#DIV/0!</v>
      </c>
    </row>
    <row r="71" spans="7:13" x14ac:dyDescent="0.3">
      <c r="G71" s="7">
        <v>159820.32999999999</v>
      </c>
      <c r="H71" s="1">
        <v>0.1</v>
      </c>
      <c r="I71" s="1">
        <v>530971.328125</v>
      </c>
      <c r="L71" s="1">
        <f>(G71-K71)</f>
        <v>159820.32999999999</v>
      </c>
      <c r="M71" s="1" t="e">
        <f>(G71-K71)/K71*1000000</f>
        <v>#DIV/0!</v>
      </c>
    </row>
    <row r="72" spans="7:13" x14ac:dyDescent="0.3">
      <c r="G72" s="7">
        <v>28097.33</v>
      </c>
      <c r="H72" s="1">
        <v>0.1</v>
      </c>
      <c r="I72" s="1">
        <v>529142.130859375</v>
      </c>
      <c r="L72" s="1">
        <f>(G72-K72)</f>
        <v>28097.33</v>
      </c>
      <c r="M72" s="1" t="e">
        <f>(G72-K72)/K72*1000000</f>
        <v>#DIV/0!</v>
      </c>
    </row>
    <row r="73" spans="7:13" x14ac:dyDescent="0.3">
      <c r="G73" s="7">
        <v>124624.57</v>
      </c>
      <c r="H73" s="1">
        <v>0.1</v>
      </c>
      <c r="I73" s="1">
        <v>525841.125</v>
      </c>
      <c r="L73" s="1">
        <f>(G73-K73)</f>
        <v>124624.57</v>
      </c>
      <c r="M73" s="1" t="e">
        <f>(G73-K73)/K73*1000000</f>
        <v>#DIV/0!</v>
      </c>
    </row>
    <row r="74" spans="7:13" x14ac:dyDescent="0.3">
      <c r="G74" s="7">
        <v>69543.31</v>
      </c>
      <c r="H74" s="1">
        <v>0.1</v>
      </c>
      <c r="I74" s="1">
        <v>515231.34765625</v>
      </c>
      <c r="L74" s="1">
        <f>(G74-K74)</f>
        <v>69543.31</v>
      </c>
      <c r="M74" s="1" t="e">
        <f>(G74-K74)/K74*1000000</f>
        <v>#DIV/0!</v>
      </c>
    </row>
    <row r="75" spans="7:13" x14ac:dyDescent="0.3">
      <c r="G75" s="7">
        <v>153755.76999999999</v>
      </c>
      <c r="H75" s="1">
        <v>0.09</v>
      </c>
      <c r="I75" s="1">
        <v>488615.578125</v>
      </c>
      <c r="M75" s="1" t="e">
        <f>(G75-K75)/K75*1000000</f>
        <v>#DIV/0!</v>
      </c>
    </row>
    <row r="76" spans="7:13" x14ac:dyDescent="0.3">
      <c r="G76" s="7">
        <v>162659.19</v>
      </c>
      <c r="H76" s="1">
        <v>0.09</v>
      </c>
      <c r="I76" s="1">
        <v>460417.98046875</v>
      </c>
      <c r="M76" s="1" t="e">
        <f>(G76-K76)/K76*1000000</f>
        <v>#DIV/0!</v>
      </c>
    </row>
    <row r="77" spans="7:13" x14ac:dyDescent="0.3">
      <c r="G77" s="7">
        <v>139738.97</v>
      </c>
      <c r="H77" s="1">
        <v>0.08</v>
      </c>
      <c r="I77" s="1">
        <v>418960.1953125</v>
      </c>
      <c r="M77" s="1" t="e">
        <f>(G77-K77)/K77*1000000</f>
        <v>#DIV/0!</v>
      </c>
    </row>
    <row r="78" spans="7:13" x14ac:dyDescent="0.3">
      <c r="G78" s="1">
        <v>108172.93</v>
      </c>
      <c r="H78" s="1">
        <v>0.08</v>
      </c>
      <c r="I78" s="1">
        <v>412012.78894042998</v>
      </c>
      <c r="M78" s="1" t="e">
        <f>(G78-K78)/K78*1000000</f>
        <v>#DIV/0!</v>
      </c>
    </row>
    <row r="79" spans="7:13" x14ac:dyDescent="0.3">
      <c r="G79" s="1">
        <v>72443.399999999994</v>
      </c>
      <c r="H79" s="1">
        <v>7.0000000000000007E-2</v>
      </c>
      <c r="I79" s="1">
        <v>400214.02734375</v>
      </c>
      <c r="M79" s="1" t="e">
        <f>(G79-K79)/K79*1000000</f>
        <v>#DIV/0!</v>
      </c>
    </row>
    <row r="80" spans="7:13" x14ac:dyDescent="0.3">
      <c r="G80" s="1">
        <v>91680.78</v>
      </c>
      <c r="H80" s="1">
        <v>7.0000000000000007E-2</v>
      </c>
      <c r="I80" s="1">
        <v>400107.796875</v>
      </c>
      <c r="M80" s="1" t="e">
        <f>(G80-K80)/K80*1000000</f>
        <v>#DIV/0!</v>
      </c>
    </row>
    <row r="81" spans="7:13" x14ac:dyDescent="0.3">
      <c r="G81" s="1">
        <v>146582.12</v>
      </c>
      <c r="H81" s="1">
        <v>7.0000000000000007E-2</v>
      </c>
      <c r="I81" s="1">
        <v>376857.54980468802</v>
      </c>
      <c r="M81" s="1" t="e">
        <f>(G81-K81)/K81*1000000</f>
        <v>#DIV/0!</v>
      </c>
    </row>
    <row r="82" spans="7:13" x14ac:dyDescent="0.3">
      <c r="G82" s="1">
        <v>37589.97</v>
      </c>
      <c r="H82" s="1">
        <v>7.0000000000000007E-2</v>
      </c>
      <c r="I82" s="1">
        <v>368584.92578125</v>
      </c>
      <c r="M82" s="1" t="e">
        <f>(G82-K82)/K82*1000000</f>
        <v>#DIV/0!</v>
      </c>
    </row>
    <row r="83" spans="7:13" x14ac:dyDescent="0.3">
      <c r="G83" s="1">
        <v>57838</v>
      </c>
      <c r="H83" s="1">
        <v>7.0000000000000007E-2</v>
      </c>
      <c r="I83" s="1">
        <v>365765.134765625</v>
      </c>
      <c r="M83" s="1" t="e">
        <f>(G83-K83)/K83*1000000</f>
        <v>#DIV/0!</v>
      </c>
    </row>
    <row r="84" spans="7:13" x14ac:dyDescent="0.3">
      <c r="G84" s="1">
        <v>142687.39000000001</v>
      </c>
      <c r="H84" s="1">
        <v>7.0000000000000007E-2</v>
      </c>
      <c r="I84" s="1">
        <v>364576.2578125</v>
      </c>
      <c r="M84" s="1" t="e">
        <f>(G84-K84)/K84*1000000</f>
        <v>#DIV/0!</v>
      </c>
    </row>
    <row r="85" spans="7:13" x14ac:dyDescent="0.3">
      <c r="G85" s="1">
        <v>65048.51</v>
      </c>
      <c r="H85" s="1">
        <v>7.0000000000000007E-2</v>
      </c>
      <c r="I85" s="1">
        <v>356531.65625</v>
      </c>
      <c r="M85" s="1" t="e">
        <f>(G85-K85)/K85*1000000</f>
        <v>#DIV/0!</v>
      </c>
    </row>
    <row r="86" spans="7:13" x14ac:dyDescent="0.3">
      <c r="G86" s="1">
        <v>50771.93</v>
      </c>
      <c r="H86" s="1">
        <v>0.06</v>
      </c>
      <c r="I86" s="1">
        <v>347692.58496093802</v>
      </c>
      <c r="M86" s="1" t="e">
        <f>(G86-K86)/K86*1000000</f>
        <v>#DIV/0!</v>
      </c>
    </row>
    <row r="87" spans="7:13" x14ac:dyDescent="0.3">
      <c r="G87" s="1">
        <v>149810.06</v>
      </c>
      <c r="H87" s="1">
        <v>0.06</v>
      </c>
      <c r="I87" s="1">
        <v>328743.8515625</v>
      </c>
      <c r="M87" s="1" t="e">
        <f>(G87-K87)/K87*1000000</f>
        <v>#DIV/0!</v>
      </c>
    </row>
    <row r="88" spans="7:13" x14ac:dyDescent="0.3">
      <c r="G88" s="1">
        <v>82434.3</v>
      </c>
      <c r="H88" s="1">
        <v>0.06</v>
      </c>
      <c r="I88" s="1">
        <v>324896.22265625</v>
      </c>
      <c r="M88" s="1" t="e">
        <f>(G88-K88)/K88*1000000</f>
        <v>#DIV/0!</v>
      </c>
    </row>
    <row r="89" spans="7:13" x14ac:dyDescent="0.3">
      <c r="G89" s="1">
        <v>133791.03</v>
      </c>
      <c r="H89" s="1">
        <v>0.06</v>
      </c>
      <c r="I89" s="1">
        <v>319256.42578125</v>
      </c>
      <c r="M89" s="1" t="e">
        <f>(G89-K89)/K89*1000000</f>
        <v>#DIV/0!</v>
      </c>
    </row>
    <row r="90" spans="7:13" x14ac:dyDescent="0.3">
      <c r="G90" s="1">
        <v>130106.88</v>
      </c>
      <c r="H90" s="1">
        <v>0.06</v>
      </c>
      <c r="I90" s="1">
        <v>316842.0078125</v>
      </c>
      <c r="M90" s="1" t="e">
        <f>(G90-K90)/K90*1000000</f>
        <v>#DIV/0!</v>
      </c>
    </row>
    <row r="91" spans="7:13" x14ac:dyDescent="0.3">
      <c r="G91" s="1">
        <v>63361.81</v>
      </c>
      <c r="H91" s="1">
        <v>0.06</v>
      </c>
      <c r="I91" s="1">
        <v>312086.09375</v>
      </c>
      <c r="M91" s="1" t="e">
        <f>(G91-K91)/K91*1000000</f>
        <v>#DIV/0!</v>
      </c>
    </row>
    <row r="92" spans="7:13" x14ac:dyDescent="0.3">
      <c r="G92" s="1">
        <v>70747.259999999995</v>
      </c>
      <c r="H92" s="1">
        <v>0.06</v>
      </c>
      <c r="I92" s="1">
        <v>307818.31640625</v>
      </c>
      <c r="M92" s="1" t="e">
        <f>(G92-K92)/K92*1000000</f>
        <v>#DIV/0!</v>
      </c>
    </row>
    <row r="93" spans="7:13" x14ac:dyDescent="0.3">
      <c r="G93" s="1">
        <v>40721.1</v>
      </c>
      <c r="H93" s="1">
        <v>0.06</v>
      </c>
      <c r="I93" s="1">
        <v>302256.1640625</v>
      </c>
      <c r="M93" s="1" t="e">
        <f>(G93-K93)/K93*1000000</f>
        <v>#DIV/0!</v>
      </c>
    </row>
    <row r="94" spans="7:13" x14ac:dyDescent="0.3">
      <c r="G94" s="1">
        <v>25386.37</v>
      </c>
      <c r="H94" s="1">
        <v>0.05</v>
      </c>
      <c r="I94" s="1">
        <v>283770.484375</v>
      </c>
      <c r="M94" s="1" t="e">
        <f>(G94-K94)/K94*1000000</f>
        <v>#DIV/0!</v>
      </c>
    </row>
    <row r="95" spans="7:13" x14ac:dyDescent="0.3">
      <c r="G95" s="1">
        <v>40565.58</v>
      </c>
      <c r="H95" s="1">
        <v>0.05</v>
      </c>
      <c r="I95" s="1">
        <v>279614.16894531302</v>
      </c>
      <c r="M95" s="1" t="e">
        <f>(G95-K95)/K95*1000000</f>
        <v>#DIV/0!</v>
      </c>
    </row>
    <row r="96" spans="7:13" x14ac:dyDescent="0.3">
      <c r="G96" s="1">
        <v>48864.07</v>
      </c>
      <c r="H96" s="1">
        <v>0.05</v>
      </c>
      <c r="I96" s="1">
        <v>248994.6640625</v>
      </c>
      <c r="M96" s="1" t="e">
        <f>(G96-K96)/K96*1000000</f>
        <v>#DIV/0!</v>
      </c>
    </row>
    <row r="97" spans="7:13" x14ac:dyDescent="0.3">
      <c r="G97" s="1">
        <v>81299.11</v>
      </c>
      <c r="H97" s="1">
        <v>0.05</v>
      </c>
      <c r="I97" s="1">
        <v>248587.830078125</v>
      </c>
      <c r="M97" s="1" t="e">
        <f>(G97-K97)/K97*1000000</f>
        <v>#DIV/0!</v>
      </c>
    </row>
    <row r="98" spans="7:13" x14ac:dyDescent="0.3">
      <c r="G98" s="1">
        <v>164176.42000000001</v>
      </c>
      <c r="H98" s="1">
        <v>0.05</v>
      </c>
      <c r="I98" s="1">
        <v>244574.796875</v>
      </c>
      <c r="M98" s="1" t="e">
        <f>(G98-K98)/K98*1000000</f>
        <v>#DIV/0!</v>
      </c>
    </row>
    <row r="99" spans="7:13" x14ac:dyDescent="0.3">
      <c r="G99" s="1">
        <v>107003.21</v>
      </c>
      <c r="H99" s="1">
        <v>0.04</v>
      </c>
      <c r="I99" s="1">
        <v>241885.53515625</v>
      </c>
      <c r="M99" s="1" t="e">
        <f>(G99-K99)/K99*1000000</f>
        <v>#DIV/0!</v>
      </c>
    </row>
    <row r="100" spans="7:13" x14ac:dyDescent="0.3">
      <c r="G100" s="1">
        <v>64478.7</v>
      </c>
      <c r="H100" s="1">
        <v>0.04</v>
      </c>
      <c r="I100" s="1">
        <v>237979.171875</v>
      </c>
      <c r="M100" s="1" t="e">
        <f>(G100-K100)/K100*1000000</f>
        <v>#DIV/0!</v>
      </c>
    </row>
    <row r="101" spans="7:13" x14ac:dyDescent="0.3">
      <c r="G101" s="1">
        <v>84561.74</v>
      </c>
      <c r="H101" s="1">
        <v>0.04</v>
      </c>
      <c r="I101" s="1">
        <v>234190.515625</v>
      </c>
      <c r="M101" s="1" t="e">
        <f>(G101-K101)/K101*1000000</f>
        <v>#DIV/0!</v>
      </c>
    </row>
    <row r="102" spans="7:13" x14ac:dyDescent="0.3">
      <c r="G102" s="1">
        <v>162910.29</v>
      </c>
      <c r="H102" s="1">
        <v>0.04</v>
      </c>
      <c r="I102" s="1">
        <v>221528.0390625</v>
      </c>
      <c r="M102" s="1" t="e">
        <f>(G102-K102)/K102*1000000</f>
        <v>#DIV/0!</v>
      </c>
    </row>
    <row r="103" spans="7:13" x14ac:dyDescent="0.3">
      <c r="G103" s="1">
        <v>68409.5</v>
      </c>
      <c r="H103" s="1">
        <v>0.04</v>
      </c>
      <c r="I103" s="1">
        <v>219561.953125</v>
      </c>
      <c r="M103" s="1" t="e">
        <f>(G103-K103)/K103*1000000</f>
        <v>#DIV/0!</v>
      </c>
    </row>
    <row r="104" spans="7:13" x14ac:dyDescent="0.3">
      <c r="G104" s="1">
        <v>78086.62</v>
      </c>
      <c r="H104" s="1">
        <v>0.04</v>
      </c>
      <c r="I104" s="1">
        <v>218138.76171875</v>
      </c>
      <c r="M104" s="1" t="e">
        <f>(G104-K104)/K104*1000000</f>
        <v>#DIV/0!</v>
      </c>
    </row>
    <row r="105" spans="7:13" x14ac:dyDescent="0.3">
      <c r="G105" s="1">
        <v>28560.720000000001</v>
      </c>
      <c r="H105" s="1">
        <v>0.04</v>
      </c>
      <c r="I105" s="1">
        <v>210457.3515625</v>
      </c>
      <c r="M105" s="1" t="e">
        <f>(G105-K105)/K105*1000000</f>
        <v>#DIV/0!</v>
      </c>
    </row>
    <row r="106" spans="7:13" x14ac:dyDescent="0.3">
      <c r="G106" s="1">
        <v>20358.43</v>
      </c>
      <c r="H106" s="1">
        <v>0.04</v>
      </c>
      <c r="I106" s="1">
        <v>197292.72265625</v>
      </c>
      <c r="M106" s="1" t="e">
        <f>(G106-K106)/K106*1000000</f>
        <v>#DIV/0!</v>
      </c>
    </row>
    <row r="107" spans="7:13" x14ac:dyDescent="0.3">
      <c r="G107" s="1">
        <v>40042.58</v>
      </c>
      <c r="H107" s="1">
        <v>0.04</v>
      </c>
      <c r="I107" s="1">
        <v>192957.998046875</v>
      </c>
      <c r="M107" s="1" t="e">
        <f>(G107-K107)/K107*1000000</f>
        <v>#DIV/0!</v>
      </c>
    </row>
    <row r="108" spans="7:13" x14ac:dyDescent="0.3">
      <c r="G108" s="1">
        <v>72797.58</v>
      </c>
      <c r="H108" s="1">
        <v>0.04</v>
      </c>
      <c r="I108" s="1">
        <v>192755.787109375</v>
      </c>
      <c r="M108" s="1" t="e">
        <f>(G108-K108)/K108*1000000</f>
        <v>#DIV/0!</v>
      </c>
    </row>
    <row r="109" spans="7:13" x14ac:dyDescent="0.3">
      <c r="G109" s="1">
        <v>79324.27</v>
      </c>
      <c r="H109" s="1">
        <v>0.04</v>
      </c>
      <c r="I109" s="1">
        <v>191545.53515625</v>
      </c>
      <c r="M109" s="1" t="e">
        <f>(G109-K109)/K109*1000000</f>
        <v>#DIV/0!</v>
      </c>
    </row>
    <row r="110" spans="7:13" x14ac:dyDescent="0.3">
      <c r="G110" s="1">
        <v>131126.54</v>
      </c>
      <c r="H110" s="1">
        <v>0.04</v>
      </c>
      <c r="I110" s="1">
        <v>189724.26855468799</v>
      </c>
      <c r="M110" s="1" t="e">
        <f>(G110-K110)/K110*1000000</f>
        <v>#DIV/0!</v>
      </c>
    </row>
    <row r="111" spans="7:13" x14ac:dyDescent="0.3">
      <c r="G111" s="1">
        <v>50777.01</v>
      </c>
      <c r="H111" s="1">
        <v>0.03</v>
      </c>
      <c r="I111" s="1">
        <v>185207.53515625</v>
      </c>
      <c r="M111" s="1" t="e">
        <f>(G111-K111)/K111*1000000</f>
        <v>#DIV/0!</v>
      </c>
    </row>
    <row r="112" spans="7:13" x14ac:dyDescent="0.3">
      <c r="G112" s="1">
        <v>36368.269999999997</v>
      </c>
      <c r="H112" s="1">
        <v>0.03</v>
      </c>
      <c r="I112" s="1">
        <v>181497.67114257801</v>
      </c>
      <c r="M112" s="1" t="e">
        <f>(G112-K112)/K112*1000000</f>
        <v>#DIV/0!</v>
      </c>
    </row>
    <row r="113" spans="7:13" x14ac:dyDescent="0.3">
      <c r="G113" s="1">
        <v>122157.66</v>
      </c>
      <c r="H113" s="1">
        <v>0.03</v>
      </c>
      <c r="I113" s="1">
        <v>178479.8828125</v>
      </c>
      <c r="M113" s="1" t="e">
        <f>(G113-K113)/K113*1000000</f>
        <v>#DIV/0!</v>
      </c>
    </row>
    <row r="114" spans="7:13" x14ac:dyDescent="0.3">
      <c r="G114" s="1">
        <v>139096.20000000001</v>
      </c>
      <c r="H114" s="1">
        <v>0.03</v>
      </c>
      <c r="I114" s="1">
        <v>176568.4765625</v>
      </c>
      <c r="M114" s="1" t="e">
        <f>(G114-K114)/K114*1000000</f>
        <v>#DIV/0!</v>
      </c>
    </row>
    <row r="115" spans="7:13" x14ac:dyDescent="0.3">
      <c r="G115" s="1">
        <v>123752.87</v>
      </c>
      <c r="H115" s="1">
        <v>0.03</v>
      </c>
      <c r="I115" s="1">
        <v>173189.62109375</v>
      </c>
      <c r="M115" s="1" t="e">
        <f>(G115-K115)/K115*1000000</f>
        <v>#DIV/0!</v>
      </c>
    </row>
    <row r="116" spans="7:13" x14ac:dyDescent="0.3">
      <c r="G116" s="1">
        <v>41256.15</v>
      </c>
      <c r="H116" s="1">
        <v>0.03</v>
      </c>
      <c r="I116" s="1">
        <v>143570.28417968799</v>
      </c>
      <c r="M116" s="1" t="e">
        <f>(G116-K116)/K116*1000000</f>
        <v>#DIV/0!</v>
      </c>
    </row>
    <row r="117" spans="7:13" x14ac:dyDescent="0.3">
      <c r="G117" s="1">
        <v>109587.1</v>
      </c>
      <c r="H117" s="1">
        <v>0.03</v>
      </c>
      <c r="I117" s="1">
        <v>137095.35449218799</v>
      </c>
      <c r="M117" s="1" t="e">
        <f>(G117-K117)/K117*1000000</f>
        <v>#DIV/0!</v>
      </c>
    </row>
    <row r="118" spans="7:13" x14ac:dyDescent="0.3">
      <c r="G118" s="1">
        <v>144645.43</v>
      </c>
      <c r="H118" s="1">
        <v>0.02</v>
      </c>
      <c r="I118" s="1">
        <v>121097.53125</v>
      </c>
      <c r="M118" s="1" t="e">
        <f>(G118-K118)/K118*1000000</f>
        <v>#DIV/0!</v>
      </c>
    </row>
    <row r="119" spans="7:13" x14ac:dyDescent="0.3">
      <c r="G119" s="1">
        <v>36398.67</v>
      </c>
      <c r="H119" s="1">
        <v>0.02</v>
      </c>
      <c r="I119" s="1">
        <v>114239.65722656299</v>
      </c>
      <c r="M119" s="1" t="e">
        <f>(G119-K119)/K119*1000000</f>
        <v>#DIV/0!</v>
      </c>
    </row>
    <row r="120" spans="7:13" x14ac:dyDescent="0.3">
      <c r="G120" s="1">
        <v>149159.06</v>
      </c>
      <c r="H120" s="1">
        <v>0.02</v>
      </c>
      <c r="I120" s="1">
        <v>114004.599121094</v>
      </c>
      <c r="M120" s="1" t="e">
        <f>(G120-K120)/K120*1000000</f>
        <v>#DIV/0!</v>
      </c>
    </row>
    <row r="121" spans="7:13" x14ac:dyDescent="0.3">
      <c r="G121" s="1">
        <v>36529.370000000003</v>
      </c>
      <c r="H121" s="1">
        <v>0.02</v>
      </c>
      <c r="I121" s="1">
        <v>108488.923828125</v>
      </c>
      <c r="M121" s="1" t="e">
        <f>(G121-K121)/K121*1000000</f>
        <v>#DIV/0!</v>
      </c>
    </row>
    <row r="122" spans="7:13" x14ac:dyDescent="0.3">
      <c r="G122" s="1">
        <v>81308.55</v>
      </c>
      <c r="H122" s="1">
        <v>0.01</v>
      </c>
      <c r="I122" s="1">
        <v>72260.079711914106</v>
      </c>
      <c r="M122" s="1" t="e">
        <f>(G122-K122)/K122*1000000</f>
        <v>#DIV/0!</v>
      </c>
    </row>
    <row r="123" spans="7:13" x14ac:dyDescent="0.3">
      <c r="G123" s="1">
        <v>107635.32</v>
      </c>
      <c r="H123" s="1">
        <v>0.01</v>
      </c>
      <c r="I123" s="1">
        <v>69853.2109375</v>
      </c>
      <c r="M123" s="1" t="e">
        <f>(G123-K123)/K123*1000000</f>
        <v>#DIV/0!</v>
      </c>
    </row>
    <row r="124" spans="7:13" x14ac:dyDescent="0.3">
      <c r="G124" s="1">
        <v>73061.53</v>
      </c>
      <c r="H124" s="1">
        <v>0.01</v>
      </c>
      <c r="I124" s="1">
        <v>63035.1240234375</v>
      </c>
      <c r="M124" s="1" t="e">
        <f>(G124-K124)/K124*1000000</f>
        <v>#DIV/0!</v>
      </c>
    </row>
    <row r="125" spans="7:13" x14ac:dyDescent="0.3">
      <c r="G125" s="1">
        <v>36237.75</v>
      </c>
      <c r="H125" s="1">
        <v>0.01</v>
      </c>
      <c r="I125" s="1">
        <v>58308.658203125</v>
      </c>
      <c r="M125" s="1" t="e">
        <f>(G125-K125)/K125*1000000</f>
        <v>#DIV/0!</v>
      </c>
    </row>
    <row r="126" spans="7:13" x14ac:dyDescent="0.3">
      <c r="G126" s="1">
        <v>95197.29</v>
      </c>
      <c r="H126" s="1">
        <v>0.01</v>
      </c>
      <c r="I126" s="1">
        <v>55601.304077148401</v>
      </c>
      <c r="M126" s="1" t="e">
        <f>(G126-K126)/K126*1000000</f>
        <v>#DIV/0!</v>
      </c>
    </row>
    <row r="127" spans="7:13" x14ac:dyDescent="0.3">
      <c r="G127" s="1">
        <v>69710.539999999994</v>
      </c>
      <c r="H127" s="1">
        <v>0.01</v>
      </c>
      <c r="I127" s="1">
        <v>47972.701660156301</v>
      </c>
      <c r="M127" s="1" t="e">
        <f>(G127-K127)/K127*1000000</f>
        <v>#DIV/0!</v>
      </c>
    </row>
    <row r="128" spans="7:13" x14ac:dyDescent="0.3">
      <c r="G128" s="1">
        <v>37592.46</v>
      </c>
      <c r="H128" s="1">
        <v>0.01</v>
      </c>
      <c r="I128" s="1">
        <v>45617.897216796897</v>
      </c>
      <c r="M128" s="1" t="e">
        <f>(G128-K128)/K128*1000000</f>
        <v>#DIV/0!</v>
      </c>
    </row>
    <row r="129" spans="7:13" x14ac:dyDescent="0.3">
      <c r="G129" s="1">
        <v>36166.47</v>
      </c>
      <c r="H129" s="1">
        <v>0.01</v>
      </c>
      <c r="I129" s="1">
        <v>43120.9248046875</v>
      </c>
      <c r="M129" s="1" t="e">
        <f>(G129-K129)/K129*1000000</f>
        <v>#DIV/0!</v>
      </c>
    </row>
    <row r="130" spans="7:13" x14ac:dyDescent="0.3">
      <c r="G130" s="1">
        <v>36329.19</v>
      </c>
      <c r="H130" s="1">
        <v>0.01</v>
      </c>
      <c r="I130" s="1">
        <v>35255.4375</v>
      </c>
      <c r="M130" s="1" t="e">
        <f>(G130-K130)/K130*1000000</f>
        <v>#DIV/0!</v>
      </c>
    </row>
    <row r="131" spans="7:13" x14ac:dyDescent="0.3">
      <c r="G131" s="1">
        <v>157438.78</v>
      </c>
      <c r="H131" s="1">
        <v>0.01</v>
      </c>
      <c r="I131" s="1">
        <v>32985.907714843801</v>
      </c>
      <c r="M131" s="1" t="e">
        <f>(G131-K131)/K131*1000000</f>
        <v>#DIV/0!</v>
      </c>
    </row>
    <row r="132" spans="7:13" x14ac:dyDescent="0.3">
      <c r="G132" s="1">
        <v>75768.47</v>
      </c>
      <c r="H132" s="1">
        <v>0.01</v>
      </c>
      <c r="I132" s="1">
        <v>31900.107910156301</v>
      </c>
      <c r="M132" s="1" t="e">
        <f>(G132-K132)/K132*1000000</f>
        <v>#DIV/0!</v>
      </c>
    </row>
    <row r="133" spans="7:13" x14ac:dyDescent="0.3">
      <c r="G133" s="1">
        <v>72714.22</v>
      </c>
      <c r="H133" s="1">
        <v>0.01</v>
      </c>
      <c r="I133" s="1">
        <v>30319.474121093801</v>
      </c>
      <c r="M133" s="1" t="e">
        <f>(G133-K133)/K133*1000000</f>
        <v>#DIV/0!</v>
      </c>
    </row>
    <row r="134" spans="7:13" x14ac:dyDescent="0.3">
      <c r="G134" s="1">
        <v>133787.57</v>
      </c>
      <c r="H134" s="1">
        <v>0.01</v>
      </c>
      <c r="I134" s="1">
        <v>27275.5505371094</v>
      </c>
      <c r="M134" s="1" t="e">
        <f>(G134-K134)/K134*1000000</f>
        <v>#DIV/0!</v>
      </c>
    </row>
    <row r="135" spans="7:13" x14ac:dyDescent="0.3">
      <c r="G135" s="1">
        <v>164772.16</v>
      </c>
      <c r="H135" s="1">
        <v>0</v>
      </c>
      <c r="I135" s="1">
        <v>26134.005859375</v>
      </c>
      <c r="M135" s="1" t="e">
        <f>(G135-K135)/K135*1000000</f>
        <v>#DIV/0!</v>
      </c>
    </row>
    <row r="136" spans="7:13" x14ac:dyDescent="0.3">
      <c r="G136" s="1">
        <v>155474.57999999999</v>
      </c>
      <c r="H136" s="1">
        <v>0</v>
      </c>
      <c r="I136" s="1">
        <v>22634.867675781301</v>
      </c>
      <c r="M136" s="1" t="e">
        <f>(G136-K136)/K136*1000000</f>
        <v>#DIV/0!</v>
      </c>
    </row>
    <row r="137" spans="7:13" x14ac:dyDescent="0.3">
      <c r="G137" s="1">
        <v>120522.83</v>
      </c>
      <c r="H137" s="1">
        <v>0</v>
      </c>
      <c r="I137" s="1">
        <v>20048.916625976599</v>
      </c>
      <c r="M137" s="1" t="e">
        <f>(G137-K137)/K137*1000000</f>
        <v>#DIV/0!</v>
      </c>
    </row>
    <row r="138" spans="7:13" x14ac:dyDescent="0.3">
      <c r="G138" s="1">
        <v>136687.81</v>
      </c>
      <c r="H138" s="1">
        <v>0</v>
      </c>
      <c r="I138" s="1">
        <v>17693.9970703125</v>
      </c>
      <c r="M138" s="1" t="e">
        <f>(G138-K138)/K138*1000000</f>
        <v>#DIV/0!</v>
      </c>
    </row>
    <row r="139" spans="7:13" x14ac:dyDescent="0.3">
      <c r="G139" s="1">
        <v>81331.240000000005</v>
      </c>
      <c r="H139" s="1">
        <v>0</v>
      </c>
      <c r="I139" s="1">
        <v>15260.006469726601</v>
      </c>
      <c r="M139" s="1" t="e">
        <f>(G139-K139)/K139*1000000</f>
        <v>#DIV/0!</v>
      </c>
    </row>
    <row r="140" spans="7:13" x14ac:dyDescent="0.3">
      <c r="G140" s="1">
        <v>27277.41</v>
      </c>
      <c r="H140" s="1">
        <v>0</v>
      </c>
      <c r="I140" s="1">
        <v>13789.414550781299</v>
      </c>
      <c r="M140" s="1" t="e">
        <f>(G140-K140)/K140*1000000</f>
        <v>#DIV/0!</v>
      </c>
    </row>
    <row r="141" spans="7:13" x14ac:dyDescent="0.3">
      <c r="G141" s="1">
        <v>113312.4</v>
      </c>
      <c r="H141" s="1">
        <v>0</v>
      </c>
      <c r="I141" s="1">
        <v>13373.0720214844</v>
      </c>
      <c r="M141" s="1" t="e">
        <f>(G141-K141)/K141*1000000</f>
        <v>#DIV/0!</v>
      </c>
    </row>
    <row r="142" spans="7:13" x14ac:dyDescent="0.3">
      <c r="G142" s="1">
        <v>43468.58</v>
      </c>
      <c r="H142" s="1">
        <v>0</v>
      </c>
      <c r="I142" s="1">
        <v>13330.461425781299</v>
      </c>
      <c r="M142" s="1" t="e">
        <f>(G142-K142)/K142*1000000</f>
        <v>#DIV/0!</v>
      </c>
    </row>
    <row r="143" spans="7:13" x14ac:dyDescent="0.3">
      <c r="G143" s="1">
        <v>89839.02</v>
      </c>
      <c r="H143" s="1">
        <v>0</v>
      </c>
      <c r="I143" s="1">
        <v>13063.705688476601</v>
      </c>
      <c r="M143" s="1" t="e">
        <f>(G143-K143)/K143*1000000</f>
        <v>#DIV/0!</v>
      </c>
    </row>
    <row r="144" spans="7:13" x14ac:dyDescent="0.3">
      <c r="G144" s="1">
        <v>102984</v>
      </c>
      <c r="H144" s="1">
        <v>0</v>
      </c>
      <c r="I144" s="1">
        <v>12352.039550781299</v>
      </c>
      <c r="M144" s="1" t="e">
        <f>(G144-K144)/K144*1000000</f>
        <v>#DIV/0!</v>
      </c>
    </row>
    <row r="145" spans="7:13" x14ac:dyDescent="0.3">
      <c r="G145" s="1">
        <v>128707.46</v>
      </c>
      <c r="H145" s="1">
        <v>0</v>
      </c>
      <c r="I145" s="1">
        <v>11142.541015625</v>
      </c>
      <c r="M145" s="1" t="e">
        <f>(G145-K145)/K145*1000000</f>
        <v>#DIV/0!</v>
      </c>
    </row>
    <row r="146" spans="7:13" x14ac:dyDescent="0.3">
      <c r="G146" s="1">
        <v>57168.9</v>
      </c>
      <c r="H146" s="1">
        <v>0</v>
      </c>
      <c r="I146" s="1">
        <v>11131.149780273399</v>
      </c>
      <c r="M146" s="1" t="e">
        <f>(G146-K146)/K146*1000000</f>
        <v>#DIV/0!</v>
      </c>
    </row>
    <row r="147" spans="7:13" x14ac:dyDescent="0.3">
      <c r="G147" s="1">
        <v>119122.4</v>
      </c>
      <c r="H147" s="1">
        <v>0</v>
      </c>
      <c r="I147" s="1">
        <v>10636.358886718799</v>
      </c>
      <c r="M147" s="1" t="e">
        <f>(G147-K147)/K147*1000000</f>
        <v>#DIV/0!</v>
      </c>
    </row>
    <row r="148" spans="7:13" x14ac:dyDescent="0.3">
      <c r="G148" s="1">
        <v>24135.99</v>
      </c>
      <c r="H148" s="1">
        <v>0</v>
      </c>
      <c r="I148" s="1">
        <v>10227.999511718799</v>
      </c>
      <c r="M148" s="1" t="e">
        <f>(G148-K148)/K148*1000000</f>
        <v>#DIV/0!</v>
      </c>
    </row>
    <row r="149" spans="7:13" x14ac:dyDescent="0.3">
      <c r="G149" s="1">
        <v>43658.32</v>
      </c>
      <c r="H149" s="1">
        <v>0</v>
      </c>
      <c r="I149" s="1">
        <v>9467.8771972656305</v>
      </c>
      <c r="M149" s="1" t="e">
        <f>(G149-K149)/K149*1000000</f>
        <v>#DIV/0!</v>
      </c>
    </row>
    <row r="150" spans="7:13" x14ac:dyDescent="0.3">
      <c r="G150" s="1">
        <v>145337.47</v>
      </c>
      <c r="H150" s="1">
        <v>0</v>
      </c>
      <c r="I150" s="1">
        <v>5881.4176635742197</v>
      </c>
      <c r="M150" s="1" t="e">
        <f>(G150-K150)/K150*1000000</f>
        <v>#DIV/0!</v>
      </c>
    </row>
    <row r="151" spans="7:13" x14ac:dyDescent="0.3">
      <c r="G151" s="1">
        <v>107801.1</v>
      </c>
      <c r="H151" s="1">
        <v>0</v>
      </c>
      <c r="I151" s="1">
        <v>5128.7225341796902</v>
      </c>
      <c r="M151" s="1" t="e">
        <f>(G151-K151)/K151*1000000</f>
        <v>#DIV/0!</v>
      </c>
    </row>
    <row r="152" spans="7:13" x14ac:dyDescent="0.3">
      <c r="G152" s="1">
        <v>87176.15</v>
      </c>
      <c r="H152" s="1">
        <v>0</v>
      </c>
      <c r="I152" s="1">
        <v>4505.6140136718795</v>
      </c>
      <c r="M152" s="1" t="e">
        <f>(G152-K152)/K152*1000000</f>
        <v>#DIV/0!</v>
      </c>
    </row>
    <row r="153" spans="7:13" x14ac:dyDescent="0.3">
      <c r="G153" s="1">
        <v>102331.13</v>
      </c>
      <c r="H153" s="1">
        <v>0</v>
      </c>
      <c r="I153" s="1">
        <v>3172.2896728515602</v>
      </c>
      <c r="M153" s="1" t="e">
        <f>(G153-K153)/K153*1000000</f>
        <v>#DIV/0!</v>
      </c>
    </row>
    <row r="154" spans="7:13" x14ac:dyDescent="0.3">
      <c r="G154" s="1">
        <v>61835.45</v>
      </c>
      <c r="H154" s="1">
        <v>0</v>
      </c>
      <c r="I154" s="1">
        <v>2849.55615234375</v>
      </c>
      <c r="M154" s="1" t="e">
        <f>(G154-K154)/K154*1000000</f>
        <v>#DIV/0!</v>
      </c>
    </row>
    <row r="155" spans="7:13" x14ac:dyDescent="0.3">
      <c r="G155" s="1">
        <v>113289.49</v>
      </c>
      <c r="H155" s="1">
        <v>0</v>
      </c>
      <c r="I155" s="1">
        <v>2676.9577941894499</v>
      </c>
      <c r="M155" s="1" t="e">
        <f>(G155-K155)/K155*1000000</f>
        <v>#DIV/0!</v>
      </c>
    </row>
    <row r="156" spans="7:13" x14ac:dyDescent="0.3">
      <c r="G156" s="1">
        <v>118049.47</v>
      </c>
      <c r="H156" s="1">
        <v>0</v>
      </c>
      <c r="I156" s="1">
        <v>1914.8943176269499</v>
      </c>
      <c r="M156" s="1" t="e">
        <f>(G156-K156)/K156*1000000</f>
        <v>#DIV/0!</v>
      </c>
    </row>
  </sheetData>
  <sortState xmlns:xlrd2="http://schemas.microsoft.com/office/spreadsheetml/2017/richdata2" ref="G6:M156">
    <sortCondition descending="1" ref="H6:H156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4676-4B82-4995-8C77-8945EE321C7B}">
  <dimension ref="A1:O27"/>
  <sheetViews>
    <sheetView topLeftCell="B1" workbookViewId="0">
      <selection activeCell="J15" sqref="J15"/>
    </sheetView>
  </sheetViews>
  <sheetFormatPr defaultRowHeight="14" x14ac:dyDescent="0.3"/>
  <cols>
    <col min="1" max="1" width="13.5" style="8" bestFit="1" customWidth="1"/>
    <col min="2" max="2" width="20.296875" style="8" bestFit="1" customWidth="1"/>
    <col min="3" max="3" width="13.19921875" style="8" bestFit="1" customWidth="1"/>
    <col min="4" max="4" width="14.8984375" style="8" bestFit="1" customWidth="1"/>
    <col min="5" max="5" width="13.3984375" style="8" bestFit="1" customWidth="1"/>
    <col min="6" max="6" width="10.09765625" style="8" bestFit="1" customWidth="1"/>
    <col min="7" max="7" width="13" style="8" bestFit="1" customWidth="1"/>
    <col min="8" max="8" width="8.796875" style="8"/>
    <col min="9" max="9" width="15.8984375" style="8" bestFit="1" customWidth="1"/>
    <col min="10" max="10" width="10.69921875" style="8" bestFit="1" customWidth="1"/>
    <col min="11" max="11" width="17.3984375" style="8" bestFit="1" customWidth="1"/>
    <col min="12" max="12" width="10.69921875" style="8" bestFit="1" customWidth="1"/>
    <col min="13" max="13" width="11.69921875" style="8" bestFit="1" customWidth="1"/>
    <col min="14" max="14" width="10.69921875" style="8" bestFit="1" customWidth="1"/>
    <col min="15" max="16384" width="8.796875" style="8"/>
  </cols>
  <sheetData>
    <row r="1" spans="1:15" ht="28" x14ac:dyDescent="0.3">
      <c r="A1" s="8" t="s">
        <v>2</v>
      </c>
      <c r="B1" s="8" t="s">
        <v>67</v>
      </c>
      <c r="C1" s="8" t="s">
        <v>66</v>
      </c>
      <c r="D1" s="8" t="s">
        <v>6</v>
      </c>
      <c r="E1" s="8" t="s">
        <v>8</v>
      </c>
      <c r="F1" s="8" t="s">
        <v>12</v>
      </c>
      <c r="G1" s="8" t="s">
        <v>68</v>
      </c>
      <c r="I1" s="13" t="s">
        <v>83</v>
      </c>
      <c r="J1" s="14" t="s">
        <v>84</v>
      </c>
      <c r="K1" s="14" t="s">
        <v>37</v>
      </c>
      <c r="L1" s="13" t="s">
        <v>38</v>
      </c>
      <c r="M1" s="13" t="s">
        <v>39</v>
      </c>
      <c r="N1" s="13" t="s">
        <v>40</v>
      </c>
      <c r="O1" s="13" t="s">
        <v>41</v>
      </c>
    </row>
    <row r="2" spans="1:15" x14ac:dyDescent="0.3">
      <c r="A2" s="8">
        <v>145805.60999999999</v>
      </c>
      <c r="B2" s="8">
        <v>0.12</v>
      </c>
      <c r="C2" s="8">
        <v>666742.375</v>
      </c>
      <c r="D2" s="8" t="s">
        <v>33</v>
      </c>
      <c r="E2" s="10">
        <v>145806.17484723599</v>
      </c>
      <c r="F2" s="10">
        <v>-0.56484723600442521</v>
      </c>
      <c r="G2" s="11">
        <v>-3.8739596357714401</v>
      </c>
      <c r="I2" s="13" t="s">
        <v>33</v>
      </c>
      <c r="J2" s="13">
        <v>666742.375</v>
      </c>
      <c r="K2" s="15">
        <f>J2/J$18</f>
        <v>3.1205586835867305E-3</v>
      </c>
      <c r="L2" s="13">
        <v>0</v>
      </c>
      <c r="M2" s="13">
        <v>0</v>
      </c>
      <c r="N2" s="15">
        <f>L2*K2</f>
        <v>0</v>
      </c>
      <c r="O2" s="15">
        <f>M2*K2</f>
        <v>0</v>
      </c>
    </row>
    <row r="3" spans="1:15" x14ac:dyDescent="0.3">
      <c r="A3" s="8">
        <v>158401.60000000001</v>
      </c>
      <c r="B3" s="8">
        <v>0.6</v>
      </c>
      <c r="C3" s="8">
        <v>3269977.1176757799</v>
      </c>
      <c r="D3" s="8" t="s">
        <v>25</v>
      </c>
      <c r="E3" s="10">
        <v>158380.47770225201</v>
      </c>
      <c r="F3" s="10">
        <v>21.122297747991979</v>
      </c>
      <c r="G3" s="11">
        <v>133.36427604228425</v>
      </c>
      <c r="I3" s="13" t="s">
        <v>25</v>
      </c>
      <c r="J3" s="13">
        <v>3269977.1176757799</v>
      </c>
      <c r="K3" s="15">
        <f>J3/J$18</f>
        <v>1.5304495217801422E-2</v>
      </c>
      <c r="L3" s="13">
        <v>0</v>
      </c>
      <c r="M3" s="13">
        <v>8</v>
      </c>
      <c r="N3" s="15">
        <f t="shared" ref="N3:N11" si="0">L3*K3</f>
        <v>0</v>
      </c>
      <c r="O3" s="15">
        <f t="shared" ref="O3:O11" si="1">M3*K3</f>
        <v>0.12243596174241138</v>
      </c>
    </row>
    <row r="4" spans="1:15" x14ac:dyDescent="0.3">
      <c r="A4" s="8">
        <v>157086.57999999999</v>
      </c>
      <c r="B4" s="8">
        <v>0.28999999999999998</v>
      </c>
      <c r="C4" s="8">
        <v>1577332.609375</v>
      </c>
      <c r="D4" s="8" t="s">
        <v>29</v>
      </c>
      <c r="E4" s="10">
        <v>157053.16770225202</v>
      </c>
      <c r="F4" s="10">
        <v>33.412297747971024</v>
      </c>
      <c r="G4" s="11">
        <v>212.74513743852313</v>
      </c>
      <c r="I4" s="13" t="s">
        <v>29</v>
      </c>
      <c r="J4" s="13">
        <v>1577332.609375</v>
      </c>
      <c r="K4" s="15">
        <f>J4/J$18</f>
        <v>7.3824000928239672E-3</v>
      </c>
      <c r="L4" s="13">
        <v>1</v>
      </c>
      <c r="M4" s="13">
        <v>6</v>
      </c>
      <c r="N4" s="15">
        <f t="shared" si="0"/>
        <v>7.3824000928239672E-3</v>
      </c>
      <c r="O4" s="15">
        <f t="shared" si="1"/>
        <v>4.4294400556943801E-2</v>
      </c>
    </row>
    <row r="5" spans="1:15" x14ac:dyDescent="0.3">
      <c r="A5" s="8">
        <v>160514.76999999999</v>
      </c>
      <c r="B5" s="8">
        <v>8.34</v>
      </c>
      <c r="C5" s="8">
        <v>45142468.90625</v>
      </c>
      <c r="D5" s="8" t="s">
        <v>17</v>
      </c>
      <c r="E5" s="10">
        <v>157053.16770225202</v>
      </c>
      <c r="F5" s="10">
        <v>3461.6022977479734</v>
      </c>
      <c r="G5" s="11">
        <v>22040.958156989385</v>
      </c>
      <c r="I5" s="13" t="s">
        <v>17</v>
      </c>
      <c r="J5" s="13">
        <v>52976939.337890632</v>
      </c>
      <c r="K5" s="15">
        <f>J5/J$18</f>
        <v>0.24794831449058874</v>
      </c>
      <c r="L5" s="13">
        <v>1</v>
      </c>
      <c r="M5" s="13">
        <v>8</v>
      </c>
      <c r="N5" s="15">
        <f t="shared" si="0"/>
        <v>0.24794831449058874</v>
      </c>
      <c r="O5" s="15">
        <f t="shared" si="1"/>
        <v>1.9835865159247099</v>
      </c>
    </row>
    <row r="6" spans="1:15" x14ac:dyDescent="0.3">
      <c r="A6" s="8">
        <v>160654.42000000001</v>
      </c>
      <c r="B6" s="8">
        <v>1.45</v>
      </c>
      <c r="C6" s="8">
        <v>7834470.4316406297</v>
      </c>
      <c r="D6" s="8" t="s">
        <v>17</v>
      </c>
      <c r="E6" s="10">
        <v>160615.83299988901</v>
      </c>
      <c r="F6" s="10">
        <v>38.587000111001544</v>
      </c>
      <c r="G6" s="11">
        <v>240.24406181069463</v>
      </c>
      <c r="I6" s="13" t="s">
        <v>27</v>
      </c>
      <c r="J6" s="13">
        <v>1675532.69140625</v>
      </c>
      <c r="K6" s="15">
        <f>J6/J$18</f>
        <v>7.842006576829947E-3</v>
      </c>
      <c r="L6" s="13">
        <v>2</v>
      </c>
      <c r="M6" s="13">
        <v>4</v>
      </c>
      <c r="N6" s="15">
        <f t="shared" si="0"/>
        <v>1.5684013153659894E-2</v>
      </c>
      <c r="O6" s="15">
        <f t="shared" si="1"/>
        <v>3.1368026307319788E-2</v>
      </c>
    </row>
    <row r="7" spans="1:15" x14ac:dyDescent="0.3">
      <c r="A7" s="8">
        <v>155741.12</v>
      </c>
      <c r="B7" s="8">
        <v>0.31</v>
      </c>
      <c r="C7" s="8">
        <v>1675532.69140625</v>
      </c>
      <c r="D7" s="8" t="s">
        <v>27</v>
      </c>
      <c r="E7" s="10">
        <v>155725.85770225202</v>
      </c>
      <c r="F7" s="10">
        <v>15.262297747976845</v>
      </c>
      <c r="G7" s="11">
        <v>98.007472703463108</v>
      </c>
      <c r="I7" s="13" t="s">
        <v>21</v>
      </c>
      <c r="J7" s="13">
        <v>8213419.84375</v>
      </c>
      <c r="K7" s="15">
        <f>J7/J$18</f>
        <v>3.8441322430357944E-2</v>
      </c>
      <c r="L7" s="13">
        <v>2</v>
      </c>
      <c r="M7" s="13">
        <v>6</v>
      </c>
      <c r="N7" s="15">
        <f t="shared" si="0"/>
        <v>7.6882644860715887E-2</v>
      </c>
      <c r="O7" s="15">
        <f t="shared" si="1"/>
        <v>0.23064793458214766</v>
      </c>
    </row>
    <row r="8" spans="1:15" x14ac:dyDescent="0.3">
      <c r="A8" s="8">
        <v>159183.96</v>
      </c>
      <c r="B8" s="8">
        <v>1.52</v>
      </c>
      <c r="C8" s="8">
        <v>8213419.84375</v>
      </c>
      <c r="D8" s="8" t="s">
        <v>21</v>
      </c>
      <c r="E8" s="10">
        <v>159161.51770225202</v>
      </c>
      <c r="F8" s="10">
        <v>22.44229774796986</v>
      </c>
      <c r="G8" s="11">
        <v>141.00329069463453</v>
      </c>
      <c r="I8" s="13" t="s">
        <v>15</v>
      </c>
      <c r="J8" s="13">
        <v>119487125.33666992</v>
      </c>
      <c r="K8" s="15">
        <f>J8/J$18</f>
        <v>0.55923637153879913</v>
      </c>
      <c r="L8" s="13">
        <v>2</v>
      </c>
      <c r="M8" s="13">
        <v>8</v>
      </c>
      <c r="N8" s="15">
        <f t="shared" si="0"/>
        <v>1.1184727430775983</v>
      </c>
      <c r="O8" s="15">
        <f t="shared" si="1"/>
        <v>4.473890972310393</v>
      </c>
    </row>
    <row r="9" spans="1:15" x14ac:dyDescent="0.3">
      <c r="A9" s="8">
        <v>162618.4</v>
      </c>
      <c r="B9" s="8">
        <v>9.19</v>
      </c>
      <c r="C9" s="8">
        <v>49757082.076171897</v>
      </c>
      <c r="D9" s="8" t="s">
        <v>15</v>
      </c>
      <c r="E9" s="10">
        <v>162597.17770225203</v>
      </c>
      <c r="F9" s="10">
        <v>21.222297747968696</v>
      </c>
      <c r="G9" s="11">
        <v>130.52070182196502</v>
      </c>
      <c r="I9" s="13" t="s">
        <v>31</v>
      </c>
      <c r="J9" s="13">
        <v>998186.0703125</v>
      </c>
      <c r="K9" s="15">
        <f>J9/J$18</f>
        <v>4.6718167711314084E-3</v>
      </c>
      <c r="L9" s="13">
        <v>3</v>
      </c>
      <c r="M9" s="13">
        <v>4</v>
      </c>
      <c r="N9" s="15">
        <f t="shared" si="0"/>
        <v>1.4015450313394226E-2</v>
      </c>
      <c r="O9" s="15">
        <f t="shared" si="1"/>
        <v>1.8687267084525633E-2</v>
      </c>
    </row>
    <row r="10" spans="1:15" x14ac:dyDescent="0.3">
      <c r="A10" s="8">
        <v>162620.14000000001</v>
      </c>
      <c r="B10" s="8">
        <v>5.99</v>
      </c>
      <c r="C10" s="8">
        <v>32438232.5</v>
      </c>
      <c r="D10" s="8" t="s">
        <v>15</v>
      </c>
      <c r="E10" s="10">
        <v>162597.17770225203</v>
      </c>
      <c r="F10" s="10">
        <v>22.962297747988487</v>
      </c>
      <c r="G10" s="11">
        <v>141.22199457875615</v>
      </c>
      <c r="I10" s="13" t="s">
        <v>23</v>
      </c>
      <c r="J10" s="13">
        <v>3539834.984375</v>
      </c>
      <c r="K10" s="15">
        <f>J10/J$18</f>
        <v>1.6567512750266553E-2</v>
      </c>
      <c r="L10" s="13">
        <v>3</v>
      </c>
      <c r="M10" s="13">
        <v>6</v>
      </c>
      <c r="N10" s="15">
        <f t="shared" si="0"/>
        <v>4.9702538250799663E-2</v>
      </c>
      <c r="O10" s="15">
        <f t="shared" si="1"/>
        <v>9.9405076501599327E-2</v>
      </c>
    </row>
    <row r="11" spans="1:15" x14ac:dyDescent="0.3">
      <c r="A11" s="8">
        <v>162756.54999999999</v>
      </c>
      <c r="B11" s="8">
        <v>2.2799999999999998</v>
      </c>
      <c r="C11" s="8">
        <v>12332716.375</v>
      </c>
      <c r="D11" s="8" t="s">
        <v>15</v>
      </c>
      <c r="E11" s="10">
        <v>148981.542999889</v>
      </c>
      <c r="F11" s="10">
        <v>13775.007000110985</v>
      </c>
      <c r="G11" s="11">
        <v>92461.164804295579</v>
      </c>
      <c r="I11" s="13" t="s">
        <v>19</v>
      </c>
      <c r="J11" s="13">
        <v>21256129.5</v>
      </c>
      <c r="K11" s="15">
        <f>J11/J$18</f>
        <v>9.9485201447814184E-2</v>
      </c>
      <c r="L11" s="13">
        <v>3</v>
      </c>
      <c r="M11" s="13">
        <v>8</v>
      </c>
      <c r="N11" s="15">
        <f t="shared" si="0"/>
        <v>0.29845560434344254</v>
      </c>
      <c r="O11" s="15">
        <f t="shared" si="1"/>
        <v>0.79588161158251347</v>
      </c>
    </row>
    <row r="12" spans="1:15" x14ac:dyDescent="0.3">
      <c r="A12" s="8">
        <v>162904.45000000001</v>
      </c>
      <c r="B12" s="8">
        <v>0.36</v>
      </c>
      <c r="C12" s="8">
        <v>1968235.3183593799</v>
      </c>
      <c r="D12" s="8" t="s">
        <v>15</v>
      </c>
      <c r="E12" s="10">
        <v>162856.06323906704</v>
      </c>
      <c r="F12" s="10">
        <v>48.386760932975449</v>
      </c>
      <c r="G12" s="11">
        <v>297.11365957523708</v>
      </c>
      <c r="I12" s="13" t="s">
        <v>81</v>
      </c>
      <c r="J12" s="13">
        <v>2870572.9755859398</v>
      </c>
      <c r="K12" s="15">
        <f t="shared" ref="K12:K17" si="2">J12/J$18</f>
        <v>1.3435161408233733E-2</v>
      </c>
      <c r="L12" s="13">
        <v>0</v>
      </c>
      <c r="M12" s="13">
        <v>3</v>
      </c>
      <c r="N12" s="15">
        <f t="shared" ref="N12:N17" si="3">L12*K12</f>
        <v>0</v>
      </c>
      <c r="O12" s="15">
        <f t="shared" ref="O12:O17" si="4">M12*K12</f>
        <v>4.0305484224701198E-2</v>
      </c>
    </row>
    <row r="13" spans="1:15" x14ac:dyDescent="0.3">
      <c r="A13" s="8">
        <v>162607.44</v>
      </c>
      <c r="B13" s="8">
        <v>0.31</v>
      </c>
      <c r="C13" s="8">
        <v>1665807.375</v>
      </c>
      <c r="D13" s="8" t="s">
        <v>15</v>
      </c>
      <c r="E13" s="10">
        <v>162597.17770225203</v>
      </c>
      <c r="F13" s="10">
        <v>10.262297747976845</v>
      </c>
      <c r="G13" s="11">
        <v>63.114857791499716</v>
      </c>
      <c r="I13" s="13" t="s">
        <v>76</v>
      </c>
      <c r="J13" s="13">
        <v>4265099.3359375</v>
      </c>
      <c r="K13" s="15">
        <f t="shared" si="2"/>
        <v>1.9961972222209159E-2</v>
      </c>
      <c r="L13" s="13">
        <v>0</v>
      </c>
      <c r="M13" s="13">
        <v>0</v>
      </c>
      <c r="N13" s="15">
        <f t="shared" si="3"/>
        <v>0</v>
      </c>
      <c r="O13" s="15">
        <f t="shared" si="4"/>
        <v>0</v>
      </c>
    </row>
    <row r="14" spans="1:15" x14ac:dyDescent="0.3">
      <c r="A14" s="8">
        <v>81303.600000000006</v>
      </c>
      <c r="B14" s="8">
        <v>3.12</v>
      </c>
      <c r="C14" s="8">
        <v>16870432.7880859</v>
      </c>
      <c r="D14" s="8" t="s">
        <v>15</v>
      </c>
      <c r="E14" s="10">
        <v>81298.588851125998</v>
      </c>
      <c r="F14" s="10">
        <v>5.0111488740076311</v>
      </c>
      <c r="G14" s="11">
        <v>61.638817411505734</v>
      </c>
      <c r="I14" s="13" t="s">
        <v>79</v>
      </c>
      <c r="J14" s="13">
        <v>3850545.5424804701</v>
      </c>
      <c r="K14" s="15">
        <f t="shared" si="2"/>
        <v>1.8021733400601106E-2</v>
      </c>
      <c r="L14" s="13">
        <v>1</v>
      </c>
      <c r="M14" s="13">
        <v>0</v>
      </c>
      <c r="N14" s="15">
        <f t="shared" si="3"/>
        <v>1.8021733400601106E-2</v>
      </c>
      <c r="O14" s="15">
        <f t="shared" si="4"/>
        <v>0</v>
      </c>
    </row>
    <row r="15" spans="1:15" x14ac:dyDescent="0.3">
      <c r="A15" s="8">
        <v>81313.119999999995</v>
      </c>
      <c r="B15" s="8">
        <v>0.69</v>
      </c>
      <c r="C15" s="8">
        <v>3738237.2634277302</v>
      </c>
      <c r="D15" s="8" t="s">
        <v>15</v>
      </c>
      <c r="E15" s="10">
        <v>81298.588851125998</v>
      </c>
      <c r="F15" s="10">
        <v>14.531148873997154</v>
      </c>
      <c r="G15" s="11">
        <v>178.73802090964455</v>
      </c>
      <c r="I15" s="13" t="s">
        <v>72</v>
      </c>
      <c r="J15" s="13">
        <v>30433971.451171849</v>
      </c>
      <c r="K15" s="15">
        <f t="shared" si="2"/>
        <v>0.14244031495371051</v>
      </c>
      <c r="L15" s="13">
        <v>0</v>
      </c>
      <c r="M15" s="13">
        <v>1</v>
      </c>
      <c r="N15" s="15">
        <f t="shared" si="3"/>
        <v>0</v>
      </c>
      <c r="O15" s="15">
        <f t="shared" si="4"/>
        <v>0.14244031495371051</v>
      </c>
    </row>
    <row r="16" spans="1:15" x14ac:dyDescent="0.3">
      <c r="A16" s="8">
        <v>81314.320000000007</v>
      </c>
      <c r="B16" s="8">
        <v>0.13</v>
      </c>
      <c r="C16" s="8">
        <v>716381.640625</v>
      </c>
      <c r="D16" s="8" t="s">
        <v>15</v>
      </c>
      <c r="E16" s="10">
        <v>81298.588851125998</v>
      </c>
      <c r="F16" s="10">
        <v>15.731148874008795</v>
      </c>
      <c r="G16" s="11">
        <v>193.49842471209041</v>
      </c>
      <c r="I16" s="13" t="s">
        <v>74</v>
      </c>
      <c r="J16" s="13">
        <v>13047273.3208008</v>
      </c>
      <c r="K16" s="15">
        <f t="shared" si="2"/>
        <v>6.1065238366399634E-2</v>
      </c>
      <c r="L16" s="13">
        <v>1</v>
      </c>
      <c r="M16" s="13">
        <v>0</v>
      </c>
      <c r="N16" s="15">
        <f t="shared" si="3"/>
        <v>6.1065238366399634E-2</v>
      </c>
      <c r="O16" s="15">
        <f t="shared" si="4"/>
        <v>0</v>
      </c>
    </row>
    <row r="17" spans="1:15" x14ac:dyDescent="0.3">
      <c r="A17" s="8">
        <v>157849.48000000001</v>
      </c>
      <c r="B17" s="8">
        <v>0.18</v>
      </c>
      <c r="C17" s="8">
        <v>998186.0703125</v>
      </c>
      <c r="D17" s="8" t="s">
        <v>31</v>
      </c>
      <c r="E17" s="10">
        <v>157834.207702252</v>
      </c>
      <c r="F17" s="10">
        <v>15.272297748015262</v>
      </c>
      <c r="G17" s="11">
        <v>96.76164609908804</v>
      </c>
      <c r="I17" s="13" t="s">
        <v>70</v>
      </c>
      <c r="J17" s="13">
        <v>125667313.28906301</v>
      </c>
      <c r="K17" s="15">
        <f t="shared" si="2"/>
        <v>0.58816154549528921</v>
      </c>
      <c r="L17" s="13">
        <v>1</v>
      </c>
      <c r="M17" s="13">
        <v>1</v>
      </c>
      <c r="N17" s="15">
        <f t="shared" si="3"/>
        <v>0.58816154549528921</v>
      </c>
      <c r="O17" s="15">
        <f t="shared" si="4"/>
        <v>0.58816154549528921</v>
      </c>
    </row>
    <row r="18" spans="1:15" x14ac:dyDescent="0.3">
      <c r="A18" s="8">
        <v>161298.76</v>
      </c>
      <c r="B18" s="8">
        <v>0.65</v>
      </c>
      <c r="C18" s="8">
        <v>3539834.984375</v>
      </c>
      <c r="D18" s="8" t="s">
        <v>23</v>
      </c>
      <c r="E18" s="10">
        <v>161269.867702252</v>
      </c>
      <c r="F18" s="10">
        <v>28.892297748010606</v>
      </c>
      <c r="G18" s="11">
        <v>179.15496651459799</v>
      </c>
      <c r="I18" s="13" t="s">
        <v>35</v>
      </c>
      <c r="J18" s="13">
        <f>SUM(J2:J11)</f>
        <v>213661219.86645508</v>
      </c>
      <c r="K18" s="15">
        <f>J18/J$18</f>
        <v>1</v>
      </c>
      <c r="L18" s="13"/>
      <c r="M18" s="13" t="s">
        <v>42</v>
      </c>
      <c r="N18" s="16">
        <f>SUM(N2:N17)</f>
        <v>2.4957922258453134</v>
      </c>
      <c r="O18" s="16">
        <f>SUM(O2:O17)</f>
        <v>8.5711051112662648</v>
      </c>
    </row>
    <row r="19" spans="1:15" x14ac:dyDescent="0.3">
      <c r="A19" s="8">
        <v>164734.71</v>
      </c>
      <c r="B19" s="8">
        <v>3.73</v>
      </c>
      <c r="C19" s="8">
        <v>20216294.625</v>
      </c>
      <c r="D19" s="8" t="s">
        <v>19</v>
      </c>
      <c r="E19" s="10">
        <v>164705.527702252</v>
      </c>
      <c r="F19" s="10">
        <v>29.182297747989651</v>
      </c>
      <c r="G19" s="11">
        <v>177.17861783451633</v>
      </c>
    </row>
    <row r="20" spans="1:15" x14ac:dyDescent="0.3">
      <c r="A20" s="8">
        <v>164868</v>
      </c>
      <c r="B20" s="8">
        <v>0.19</v>
      </c>
      <c r="C20" s="8">
        <v>1039834.875</v>
      </c>
      <c r="D20" s="8" t="s">
        <v>19</v>
      </c>
      <c r="E20" s="10">
        <v>164832.53299988899</v>
      </c>
      <c r="F20" s="10">
        <v>35.4670001110062</v>
      </c>
      <c r="G20" s="11">
        <v>215.16990284333062</v>
      </c>
    </row>
    <row r="21" spans="1:15" x14ac:dyDescent="0.3">
      <c r="A21" s="8">
        <v>54213.93</v>
      </c>
      <c r="B21" s="8">
        <v>0.53</v>
      </c>
      <c r="C21" s="8">
        <v>2870572.9755859398</v>
      </c>
      <c r="D21" s="8" t="s">
        <v>81</v>
      </c>
      <c r="E21" s="10">
        <v>54225.78</v>
      </c>
      <c r="F21" s="10">
        <v>-11.849999999998545</v>
      </c>
      <c r="G21" s="11">
        <v>-218.53074312621314</v>
      </c>
    </row>
    <row r="22" spans="1:15" x14ac:dyDescent="0.3">
      <c r="A22" s="8">
        <v>23384.97</v>
      </c>
      <c r="B22" s="8">
        <v>0.79</v>
      </c>
      <c r="C22" s="8">
        <v>4265099.3359375</v>
      </c>
      <c r="D22" s="8" t="s">
        <v>76</v>
      </c>
      <c r="E22" s="10">
        <v>23390.09</v>
      </c>
      <c r="F22" s="10">
        <v>-5.1199999999989814</v>
      </c>
      <c r="G22" s="11">
        <v>-218.89612224660021</v>
      </c>
    </row>
    <row r="23" spans="1:15" x14ac:dyDescent="0.3">
      <c r="A23" s="8">
        <v>81430.45</v>
      </c>
      <c r="B23" s="8">
        <v>0.71</v>
      </c>
      <c r="C23" s="8">
        <v>3850545.5424804701</v>
      </c>
      <c r="D23" s="8" t="s">
        <v>79</v>
      </c>
      <c r="E23" s="10">
        <v>81442.050000000017</v>
      </c>
      <c r="F23" s="10">
        <v>-11.600000000020373</v>
      </c>
      <c r="G23" s="11">
        <v>-142.43256401355774</v>
      </c>
    </row>
    <row r="24" spans="1:15" x14ac:dyDescent="0.3">
      <c r="A24" s="8">
        <v>25102.26</v>
      </c>
      <c r="B24" s="8">
        <v>5.22</v>
      </c>
      <c r="C24" s="8">
        <v>28270714.541015599</v>
      </c>
      <c r="D24" s="8" t="s">
        <v>72</v>
      </c>
      <c r="E24" s="10">
        <v>25107.919999999998</v>
      </c>
      <c r="F24" s="10">
        <v>-5.6599999999998545</v>
      </c>
      <c r="G24" s="11">
        <v>-225.42687725625441</v>
      </c>
    </row>
    <row r="25" spans="1:15" x14ac:dyDescent="0.3">
      <c r="A25" s="8">
        <v>25099.759999999998</v>
      </c>
      <c r="B25" s="8">
        <v>0.4</v>
      </c>
      <c r="C25" s="8">
        <v>2163256.91015625</v>
      </c>
      <c r="D25" s="8" t="s">
        <v>72</v>
      </c>
      <c r="E25" s="8">
        <v>25107.919999999998</v>
      </c>
      <c r="F25" s="8">
        <v>-8.1599999999998545</v>
      </c>
      <c r="G25" s="8">
        <v>-324.99705272280039</v>
      </c>
    </row>
    <row r="26" spans="1:15" x14ac:dyDescent="0.3">
      <c r="A26" s="8">
        <v>25493.77</v>
      </c>
      <c r="B26" s="8">
        <v>2.41</v>
      </c>
      <c r="C26" s="8">
        <v>13047273.3208008</v>
      </c>
      <c r="D26" s="8" t="s">
        <v>74</v>
      </c>
      <c r="E26" s="8">
        <v>25498.44</v>
      </c>
      <c r="F26" s="8">
        <v>-4.6699999999982538</v>
      </c>
      <c r="G26" s="8">
        <v>-183.14845927822464</v>
      </c>
    </row>
    <row r="27" spans="1:15" x14ac:dyDescent="0.3">
      <c r="A27" s="8">
        <v>27210.2</v>
      </c>
      <c r="B27" s="8">
        <v>23.21</v>
      </c>
      <c r="C27" s="8">
        <v>125667313.28906301</v>
      </c>
      <c r="D27" s="8" t="s">
        <v>70</v>
      </c>
      <c r="E27" s="8">
        <v>27216.269999999997</v>
      </c>
      <c r="F27" s="8">
        <v>-6.069999999996071</v>
      </c>
      <c r="G27" s="8">
        <v>-223.02835766973473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99CA-FDE1-4FBD-9A0F-3520295A39A5}">
  <sheetPr>
    <tabColor theme="5" tint="0.79998168889431442"/>
  </sheetPr>
  <dimension ref="A1:S160"/>
  <sheetViews>
    <sheetView workbookViewId="0">
      <selection activeCell="C18" sqref="C18"/>
    </sheetView>
  </sheetViews>
  <sheetFormatPr defaultRowHeight="14.5" x14ac:dyDescent="0.3"/>
  <cols>
    <col min="1" max="1" width="11.69921875" style="1" customWidth="1"/>
    <col min="2" max="2" width="20.296875" style="1" bestFit="1" customWidth="1"/>
    <col min="3" max="3" width="13.19921875" style="1" customWidth="1"/>
    <col min="4" max="4" width="13.5" style="1" bestFit="1" customWidth="1"/>
    <col min="5" max="5" width="11.296875" style="1" bestFit="1" customWidth="1"/>
    <col min="6" max="6" width="9.3984375" style="1" bestFit="1" customWidth="1"/>
    <col min="7" max="7" width="15" style="1" bestFit="1" customWidth="1"/>
    <col min="8" max="8" width="14.8984375" style="1" bestFit="1" customWidth="1"/>
    <col min="9" max="9" width="12.59765625" style="1" bestFit="1" customWidth="1"/>
    <col min="10" max="10" width="13" style="1" bestFit="1" customWidth="1"/>
    <col min="11" max="12" width="8.796875" style="1"/>
    <col min="13" max="13" width="12.59765625" style="1" bestFit="1" customWidth="1"/>
    <col min="14" max="14" width="9.3984375" style="1" bestFit="1" customWidth="1"/>
    <col min="15" max="15" width="12.59765625" style="1" bestFit="1" customWidth="1"/>
    <col min="16" max="16384" width="8.796875" style="1"/>
  </cols>
  <sheetData>
    <row r="1" spans="1:19" x14ac:dyDescent="0.3">
      <c r="A1" s="1" t="s">
        <v>1</v>
      </c>
      <c r="D1" s="1" t="s">
        <v>43</v>
      </c>
      <c r="M1" s="1" t="s">
        <v>46</v>
      </c>
      <c r="N1" s="1">
        <f>2024.08+97.14</f>
        <v>2121.2199999999998</v>
      </c>
    </row>
    <row r="2" spans="1:19" x14ac:dyDescent="0.3">
      <c r="M2" s="1" t="s">
        <v>14</v>
      </c>
      <c r="N2" s="1">
        <v>1717.8300000000002</v>
      </c>
    </row>
    <row r="3" spans="1:19" x14ac:dyDescent="0.3">
      <c r="N3" s="1">
        <v>0</v>
      </c>
      <c r="O3" s="1">
        <v>1</v>
      </c>
      <c r="P3" s="1">
        <v>2</v>
      </c>
      <c r="Q3" s="1">
        <v>3</v>
      </c>
      <c r="R3" s="1">
        <v>4</v>
      </c>
      <c r="S3" s="1">
        <v>5</v>
      </c>
    </row>
    <row r="4" spans="1:19" x14ac:dyDescent="0.3">
      <c r="N4" s="1" t="str">
        <f>N3&amp;$M$1</f>
        <v>0[5]</v>
      </c>
      <c r="O4" s="1" t="str">
        <f t="shared" ref="O4:S4" si="0">O3&amp;$M$1</f>
        <v>1[5]</v>
      </c>
      <c r="P4" s="1" t="str">
        <f t="shared" si="0"/>
        <v>2[5]</v>
      </c>
      <c r="Q4" s="1" t="str">
        <f t="shared" si="0"/>
        <v>3[5]</v>
      </c>
      <c r="R4" s="1" t="str">
        <f t="shared" si="0"/>
        <v>4[5]</v>
      </c>
      <c r="S4" s="1" t="str">
        <f t="shared" si="0"/>
        <v>5[5]</v>
      </c>
    </row>
    <row r="5" spans="1:19" ht="29" x14ac:dyDescent="0.3">
      <c r="A5" s="1" t="s">
        <v>2</v>
      </c>
      <c r="B5" s="1" t="s">
        <v>3</v>
      </c>
      <c r="D5" s="1" t="s">
        <v>2</v>
      </c>
      <c r="E5" s="6" t="s">
        <v>86</v>
      </c>
      <c r="F5" s="6" t="s">
        <v>87</v>
      </c>
      <c r="G5" s="1" t="s">
        <v>7</v>
      </c>
      <c r="H5" s="1" t="s">
        <v>9</v>
      </c>
      <c r="I5" s="1" t="s">
        <v>13</v>
      </c>
      <c r="J5" s="1" t="s">
        <v>11</v>
      </c>
      <c r="L5" s="1" t="s">
        <v>0</v>
      </c>
      <c r="M5" s="4">
        <v>144637.837702252</v>
      </c>
      <c r="N5" s="1">
        <f>$M5+N3*$N$1</f>
        <v>144637.837702252</v>
      </c>
      <c r="O5" s="1">
        <f t="shared" ref="O5:S5" si="1">$M5+O3*$N$1</f>
        <v>146759.057702252</v>
      </c>
      <c r="P5" s="1">
        <f t="shared" si="1"/>
        <v>148880.277702252</v>
      </c>
      <c r="Q5" s="1">
        <f t="shared" si="1"/>
        <v>151001.497702252</v>
      </c>
      <c r="R5" s="1">
        <f t="shared" si="1"/>
        <v>153122.717702252</v>
      </c>
      <c r="S5" s="1">
        <f t="shared" si="1"/>
        <v>155243.93770225201</v>
      </c>
    </row>
    <row r="6" spans="1:19" x14ac:dyDescent="0.3">
      <c r="A6" s="3">
        <v>144637.837702252</v>
      </c>
      <c r="B6" s="2">
        <v>74.112232916783995</v>
      </c>
      <c r="D6" s="1">
        <v>158405.89000000001</v>
      </c>
      <c r="E6" s="1">
        <v>0.59</v>
      </c>
      <c r="F6" s="12">
        <v>3540000</v>
      </c>
      <c r="G6" s="1" t="s">
        <v>56</v>
      </c>
      <c r="H6" s="1">
        <v>158380.47770225201</v>
      </c>
      <c r="I6" s="1">
        <f>(D6-H6)</f>
        <v>25.412297748000128</v>
      </c>
      <c r="J6" s="1">
        <f>(D6-H6)/H6*1000000</f>
        <v>160.45094772206758</v>
      </c>
      <c r="L6" s="1">
        <v>8</v>
      </c>
      <c r="M6" s="1" t="str">
        <f>L6&amp;$M$2</f>
        <v>8[12]</v>
      </c>
      <c r="N6" s="5">
        <f t="shared" ref="N6:S6" si="2">N$5+$L6*$N$2</f>
        <v>158380.47770225201</v>
      </c>
      <c r="O6" s="5">
        <f t="shared" si="2"/>
        <v>160501.69770225202</v>
      </c>
      <c r="P6" s="5">
        <f t="shared" si="2"/>
        <v>162622.91770225202</v>
      </c>
      <c r="Q6" s="5">
        <f t="shared" si="2"/>
        <v>164744.13770225202</v>
      </c>
      <c r="R6" s="5">
        <f t="shared" si="2"/>
        <v>166865.35770225202</v>
      </c>
      <c r="S6" s="1">
        <f t="shared" si="2"/>
        <v>168986.57770225202</v>
      </c>
    </row>
    <row r="7" spans="1:19" x14ac:dyDescent="0.3">
      <c r="A7" s="3">
        <v>144764.84299988899</v>
      </c>
      <c r="B7" s="2">
        <v>17.765136151721599</v>
      </c>
      <c r="D7" s="1">
        <v>158391.94</v>
      </c>
      <c r="E7" s="1">
        <v>0.14000000000000001</v>
      </c>
      <c r="F7" s="12">
        <v>820000</v>
      </c>
      <c r="G7" s="1" t="s">
        <v>56</v>
      </c>
      <c r="H7" s="1">
        <v>158380.47770225201</v>
      </c>
      <c r="I7" s="1">
        <f>(D7-H7)</f>
        <v>11.462297747988487</v>
      </c>
      <c r="J7" s="1">
        <f>(D7-H7)/H7*1000000</f>
        <v>72.371910441746977</v>
      </c>
      <c r="L7" s="1">
        <v>6</v>
      </c>
      <c r="M7" s="1" t="str">
        <f t="shared" ref="M7:M10" si="3">L7&amp;$M$2</f>
        <v>6[12]</v>
      </c>
      <c r="N7" s="1">
        <f t="shared" ref="N7:N10" si="4">N$5+$L7*$N$2</f>
        <v>154944.81770225201</v>
      </c>
      <c r="O7" s="1">
        <f t="shared" ref="O7:S10" si="5">O$5+$L7*$N$2</f>
        <v>157066.03770225201</v>
      </c>
      <c r="P7" s="5">
        <f t="shared" si="5"/>
        <v>159187.25770225201</v>
      </c>
      <c r="Q7" s="5">
        <f t="shared" si="5"/>
        <v>161308.47770225201</v>
      </c>
      <c r="R7" s="1">
        <f t="shared" si="5"/>
        <v>163429.69770225202</v>
      </c>
      <c r="S7" s="1">
        <f t="shared" si="5"/>
        <v>165550.91770225202</v>
      </c>
    </row>
    <row r="8" spans="1:19" x14ac:dyDescent="0.3">
      <c r="A8" s="3">
        <v>144896.72323906701</v>
      </c>
      <c r="B8" s="2">
        <v>6.1421260281264498</v>
      </c>
      <c r="D8" s="1">
        <v>158390.41</v>
      </c>
      <c r="E8" s="1">
        <v>7.0000000000000007E-2</v>
      </c>
      <c r="F8" s="12">
        <v>415000</v>
      </c>
      <c r="G8" s="1" t="s">
        <v>56</v>
      </c>
      <c r="H8" s="1">
        <v>158380.47770225201</v>
      </c>
      <c r="I8" s="1">
        <f>(D8-H8)</f>
        <v>9.9322977479896508</v>
      </c>
      <c r="J8" s="1">
        <f>(D8-H8)/H8*1000000</f>
        <v>62.711628933598199</v>
      </c>
      <c r="L8" s="1">
        <v>4</v>
      </c>
      <c r="M8" s="1" t="str">
        <f t="shared" si="3"/>
        <v>4[12]</v>
      </c>
      <c r="N8" s="1">
        <f t="shared" si="4"/>
        <v>151509.15770225201</v>
      </c>
      <c r="O8" s="1">
        <f t="shared" si="5"/>
        <v>153630.37770225201</v>
      </c>
      <c r="P8" s="5">
        <f t="shared" si="5"/>
        <v>155751.59770225201</v>
      </c>
      <c r="Q8" s="1">
        <f t="shared" si="5"/>
        <v>157872.81770225201</v>
      </c>
      <c r="R8" s="1">
        <f t="shared" si="5"/>
        <v>159994.03770225201</v>
      </c>
      <c r="S8" s="1">
        <f t="shared" si="5"/>
        <v>162115.25770225201</v>
      </c>
    </row>
    <row r="9" spans="1:19" x14ac:dyDescent="0.3">
      <c r="A9" s="2">
        <v>144932.77188972401</v>
      </c>
      <c r="B9" s="2">
        <v>0.80105963401205305</v>
      </c>
      <c r="D9" s="1">
        <v>160528.31</v>
      </c>
      <c r="E9" s="1">
        <v>9.2100000000000009</v>
      </c>
      <c r="F9" s="12">
        <v>54900000</v>
      </c>
      <c r="G9" s="1" t="s">
        <v>48</v>
      </c>
      <c r="H9" s="1">
        <v>160501.69770225202</v>
      </c>
      <c r="I9" s="1">
        <f>(D9-H9)</f>
        <v>26.612297747982666</v>
      </c>
      <c r="J9" s="1">
        <f>(D9-H9)/H9*1000000</f>
        <v>165.80695487315873</v>
      </c>
      <c r="L9" s="1">
        <v>2</v>
      </c>
      <c r="M9" s="1" t="str">
        <f t="shared" si="3"/>
        <v>2[12]</v>
      </c>
      <c r="N9" s="1">
        <f t="shared" si="4"/>
        <v>148073.497702252</v>
      </c>
      <c r="O9" s="1">
        <f t="shared" si="5"/>
        <v>150194.717702252</v>
      </c>
      <c r="P9" s="1">
        <f t="shared" si="5"/>
        <v>152315.93770225201</v>
      </c>
      <c r="Q9" s="1">
        <f t="shared" si="5"/>
        <v>154437.15770225201</v>
      </c>
      <c r="R9" s="1">
        <f t="shared" si="5"/>
        <v>156558.37770225201</v>
      </c>
      <c r="S9" s="1">
        <f t="shared" si="5"/>
        <v>158679.59770225201</v>
      </c>
    </row>
    <row r="10" spans="1:19" x14ac:dyDescent="0.3">
      <c r="A10" s="2">
        <v>144802.54710678599</v>
      </c>
      <c r="B10" s="2">
        <v>0.79228527846760999</v>
      </c>
      <c r="D10" s="1">
        <v>160665.5</v>
      </c>
      <c r="E10" s="1">
        <v>1.35</v>
      </c>
      <c r="F10" s="12">
        <v>8030000</v>
      </c>
      <c r="G10" s="1" t="s">
        <v>48</v>
      </c>
      <c r="H10" s="1">
        <v>160628.70299988901</v>
      </c>
      <c r="I10" s="1">
        <f>(D10-H10)</f>
        <v>36.797000110993395</v>
      </c>
      <c r="J10" s="1">
        <f>(D10-H10)/H10*1000000</f>
        <v>229.08110084795257</v>
      </c>
      <c r="L10" s="1">
        <v>0</v>
      </c>
      <c r="M10" s="1" t="str">
        <f t="shared" si="3"/>
        <v>0[12]</v>
      </c>
      <c r="N10" s="1">
        <f t="shared" si="4"/>
        <v>144637.837702252</v>
      </c>
      <c r="O10" s="1">
        <f t="shared" si="5"/>
        <v>146759.057702252</v>
      </c>
      <c r="P10" s="1">
        <f t="shared" si="5"/>
        <v>148880.277702252</v>
      </c>
      <c r="Q10" s="1">
        <f t="shared" si="5"/>
        <v>151001.497702252</v>
      </c>
      <c r="R10" s="1">
        <f t="shared" si="5"/>
        <v>153122.717702252</v>
      </c>
      <c r="S10" s="1">
        <f t="shared" si="5"/>
        <v>155243.93770225201</v>
      </c>
    </row>
    <row r="11" spans="1:19" x14ac:dyDescent="0.3">
      <c r="A11" s="2">
        <v>145058.06195202601</v>
      </c>
      <c r="B11" s="2">
        <v>0.20605572440488401</v>
      </c>
      <c r="C11" s="1">
        <f>D11*2</f>
        <v>321340.68</v>
      </c>
      <c r="D11" s="1">
        <v>160670.34</v>
      </c>
      <c r="E11" s="1">
        <v>0.26</v>
      </c>
      <c r="F11" s="12">
        <v>1560000</v>
      </c>
      <c r="G11" s="1" t="s">
        <v>48</v>
      </c>
      <c r="H11" s="1">
        <v>160628.70299988901</v>
      </c>
      <c r="I11" s="1">
        <f>(D11-H11)</f>
        <v>41.637000110989902</v>
      </c>
      <c r="J11" s="1">
        <f>(D11-H11)/H11*1000000</f>
        <v>259.21270192300983</v>
      </c>
    </row>
    <row r="12" spans="1:19" x14ac:dyDescent="0.3">
      <c r="A12" s="2">
        <v>145223.35126442299</v>
      </c>
      <c r="B12" s="2">
        <v>0.15137808718691401</v>
      </c>
      <c r="D12" s="1">
        <v>155769.76</v>
      </c>
      <c r="E12" s="1">
        <v>0.06</v>
      </c>
      <c r="F12" s="12">
        <v>371000</v>
      </c>
      <c r="G12" s="1" t="s">
        <v>60</v>
      </c>
      <c r="H12" s="1">
        <v>155751.59770225201</v>
      </c>
      <c r="I12" s="1">
        <f>(D12-H12)</f>
        <v>18.162297748000128</v>
      </c>
      <c r="J12" s="1">
        <f>(D12-H12)/H12*1000000</f>
        <v>116.6106673442973</v>
      </c>
      <c r="N12" s="1">
        <v>0</v>
      </c>
      <c r="O12" s="1">
        <v>1</v>
      </c>
      <c r="P12" s="1">
        <v>2</v>
      </c>
      <c r="Q12" s="1">
        <v>3</v>
      </c>
      <c r="R12" s="1">
        <v>4</v>
      </c>
      <c r="S12" s="1">
        <v>5</v>
      </c>
    </row>
    <row r="13" spans="1:19" x14ac:dyDescent="0.3">
      <c r="A13" s="2">
        <v>145806.17484723599</v>
      </c>
      <c r="B13" s="2">
        <v>2.9726179296524501E-2</v>
      </c>
      <c r="D13" s="1">
        <v>159218.60999999999</v>
      </c>
      <c r="E13" s="1">
        <v>0.69</v>
      </c>
      <c r="F13" s="12">
        <v>4100000</v>
      </c>
      <c r="G13" s="1" t="s">
        <v>52</v>
      </c>
      <c r="H13" s="1">
        <v>159187.25770225201</v>
      </c>
      <c r="I13" s="1">
        <f>(D13-H13)</f>
        <v>31.352297747973353</v>
      </c>
      <c r="J13" s="1">
        <f>(D13-H13)/H13*1000000</f>
        <v>196.95230761883911</v>
      </c>
      <c r="N13" s="1" t="str">
        <f>N12&amp;$M$1</f>
        <v>0[5]</v>
      </c>
      <c r="O13" s="1" t="str">
        <f t="shared" ref="O13:S13" si="6">O12&amp;$M$1</f>
        <v>1[5]</v>
      </c>
      <c r="P13" s="1" t="str">
        <f t="shared" si="6"/>
        <v>2[5]</v>
      </c>
      <c r="Q13" s="1" t="str">
        <f t="shared" si="6"/>
        <v>3[5]</v>
      </c>
      <c r="R13" s="1" t="str">
        <f t="shared" si="6"/>
        <v>4[5]</v>
      </c>
      <c r="S13" s="1" t="str">
        <f t="shared" si="6"/>
        <v>5[5]</v>
      </c>
    </row>
    <row r="14" spans="1:19" x14ac:dyDescent="0.3">
      <c r="D14" s="1">
        <v>159212.76999999999</v>
      </c>
      <c r="E14" s="1">
        <v>0.13</v>
      </c>
      <c r="F14" s="12">
        <v>783000</v>
      </c>
      <c r="G14" s="1" t="s">
        <v>52</v>
      </c>
      <c r="H14" s="1">
        <v>159187.25770225201</v>
      </c>
      <c r="I14" s="1">
        <f>(D14-H14)</f>
        <v>25.512297747976845</v>
      </c>
      <c r="J14" s="1">
        <f>(D14-H14)/H14*1000000</f>
        <v>160.26595417389316</v>
      </c>
      <c r="L14" s="1" t="s">
        <v>0</v>
      </c>
      <c r="M14" s="3">
        <v>144764.84299988899</v>
      </c>
      <c r="N14" s="1">
        <f>$M14+N12*$N$1</f>
        <v>144764.84299988899</v>
      </c>
      <c r="O14" s="1">
        <f t="shared" ref="O14:S14" si="7">$M14+O12*$N$1</f>
        <v>146886.06299988899</v>
      </c>
      <c r="P14" s="1">
        <f t="shared" si="7"/>
        <v>149007.28299988899</v>
      </c>
      <c r="Q14" s="1">
        <f t="shared" si="7"/>
        <v>151128.50299988899</v>
      </c>
      <c r="R14" s="1">
        <f t="shared" si="7"/>
        <v>153249.722999889</v>
      </c>
      <c r="S14" s="1">
        <f t="shared" si="7"/>
        <v>155370.942999889</v>
      </c>
    </row>
    <row r="15" spans="1:19" x14ac:dyDescent="0.3">
      <c r="D15" s="1">
        <v>159346.45000000001</v>
      </c>
      <c r="E15" s="1">
        <v>0.08</v>
      </c>
      <c r="F15" s="12">
        <v>503000</v>
      </c>
      <c r="G15" s="1" t="s">
        <v>52</v>
      </c>
      <c r="H15" s="1">
        <v>159314.262999889</v>
      </c>
      <c r="I15" s="1">
        <f>(D15-H15)</f>
        <v>32.187000111007364</v>
      </c>
      <c r="J15" s="1">
        <f>(D15-H15)/H15*1000000</f>
        <v>202.03464212761534</v>
      </c>
      <c r="L15" s="1">
        <v>8</v>
      </c>
      <c r="M15" s="1" t="str">
        <f>L15&amp;$M$2</f>
        <v>8[12]</v>
      </c>
      <c r="N15" s="1">
        <f>N$14+$L15*$N$2</f>
        <v>158507.48299988901</v>
      </c>
      <c r="O15" s="5">
        <f t="shared" ref="O15:S15" si="8">O$14+$L15*$N$2</f>
        <v>160628.70299988901</v>
      </c>
      <c r="P15" s="5">
        <f t="shared" si="8"/>
        <v>162749.92299988901</v>
      </c>
      <c r="Q15" s="5">
        <f t="shared" si="8"/>
        <v>164871.14299988901</v>
      </c>
      <c r="R15" s="1">
        <f t="shared" si="8"/>
        <v>166992.36299988901</v>
      </c>
      <c r="S15" s="1">
        <f t="shared" si="8"/>
        <v>169113.58299988901</v>
      </c>
    </row>
    <row r="16" spans="1:19" x14ac:dyDescent="0.3">
      <c r="D16" s="1">
        <v>162648.59</v>
      </c>
      <c r="E16" s="1">
        <v>18.89</v>
      </c>
      <c r="F16" s="12">
        <v>113000000</v>
      </c>
      <c r="G16" s="1" t="s">
        <v>45</v>
      </c>
      <c r="H16" s="1">
        <v>162622.91770225202</v>
      </c>
      <c r="I16" s="1">
        <f>(D16-H16)</f>
        <v>25.672297747980338</v>
      </c>
      <c r="J16" s="1">
        <f>(D16-H16)/H16*1000000</f>
        <v>157.86395983242664</v>
      </c>
      <c r="L16" s="1">
        <v>6</v>
      </c>
      <c r="M16" s="1" t="str">
        <f t="shared" ref="M16:M19" si="9">L16&amp;$M$2</f>
        <v>6[12]</v>
      </c>
      <c r="N16" s="1">
        <f t="shared" ref="N16:S19" si="10">N$14+$L16*$N$2</f>
        <v>155071.822999889</v>
      </c>
      <c r="O16" s="1">
        <f t="shared" si="10"/>
        <v>157193.042999889</v>
      </c>
      <c r="P16" s="5">
        <f t="shared" si="10"/>
        <v>159314.262999889</v>
      </c>
      <c r="Q16" s="1">
        <f t="shared" si="10"/>
        <v>161435.48299988901</v>
      </c>
      <c r="R16" s="1">
        <f t="shared" si="10"/>
        <v>163556.70299988901</v>
      </c>
      <c r="S16" s="1">
        <f t="shared" si="10"/>
        <v>165677.92299988901</v>
      </c>
    </row>
    <row r="17" spans="3:19" x14ac:dyDescent="0.3">
      <c r="D17" s="4">
        <v>81312.53</v>
      </c>
      <c r="E17" s="1">
        <v>4.87</v>
      </c>
      <c r="F17" s="12">
        <v>29000000</v>
      </c>
      <c r="G17" s="1" t="s">
        <v>45</v>
      </c>
      <c r="H17" s="1">
        <f>162622.917702252/2</f>
        <v>81311.458851125994</v>
      </c>
      <c r="I17" s="1">
        <f>(D17-H17)</f>
        <v>1.0711488740053028</v>
      </c>
      <c r="J17" s="1">
        <f>(D17-H17)/H17*1000000</f>
        <v>13.173406173494937</v>
      </c>
      <c r="L17" s="1">
        <v>4</v>
      </c>
      <c r="M17" s="1" t="str">
        <f t="shared" si="9"/>
        <v>4[12]</v>
      </c>
      <c r="N17" s="1">
        <f t="shared" si="10"/>
        <v>151636.162999889</v>
      </c>
      <c r="O17" s="1">
        <f t="shared" si="10"/>
        <v>153757.382999889</v>
      </c>
      <c r="P17" s="1">
        <f t="shared" si="10"/>
        <v>155878.602999889</v>
      </c>
      <c r="Q17" s="1">
        <f t="shared" si="10"/>
        <v>157999.822999889</v>
      </c>
      <c r="R17" s="1">
        <f t="shared" si="10"/>
        <v>160121.042999889</v>
      </c>
      <c r="S17" s="1">
        <f t="shared" si="10"/>
        <v>162242.262999889</v>
      </c>
    </row>
    <row r="18" spans="3:19" x14ac:dyDescent="0.3">
      <c r="D18" s="1">
        <v>162791.15</v>
      </c>
      <c r="E18" s="1">
        <v>2</v>
      </c>
      <c r="F18" s="12">
        <v>11900000</v>
      </c>
      <c r="G18" s="1" t="s">
        <v>45</v>
      </c>
      <c r="H18" s="1">
        <v>162749.92299988901</v>
      </c>
      <c r="I18" s="1">
        <f>(D18-H18)</f>
        <v>41.22700011098641</v>
      </c>
      <c r="J18" s="1">
        <f>(D18-H18)/H18*1000000</f>
        <v>253.31502068369352</v>
      </c>
      <c r="L18" s="1">
        <v>2</v>
      </c>
      <c r="M18" s="1" t="str">
        <f t="shared" si="9"/>
        <v>2[12]</v>
      </c>
      <c r="N18" s="1">
        <f t="shared" si="10"/>
        <v>148200.50299988899</v>
      </c>
      <c r="O18" s="1">
        <f t="shared" si="10"/>
        <v>150321.722999889</v>
      </c>
      <c r="P18" s="1">
        <f t="shared" si="10"/>
        <v>152442.942999889</v>
      </c>
      <c r="Q18" s="1">
        <f t="shared" si="10"/>
        <v>154564.162999889</v>
      </c>
      <c r="R18" s="1">
        <f t="shared" si="10"/>
        <v>156685.382999889</v>
      </c>
      <c r="S18" s="1">
        <f t="shared" si="10"/>
        <v>158806.602999889</v>
      </c>
    </row>
    <row r="19" spans="3:19" x14ac:dyDescent="0.3">
      <c r="D19" s="4">
        <v>81329.3</v>
      </c>
      <c r="E19" s="1">
        <v>1.1000000000000001</v>
      </c>
      <c r="F19" s="12">
        <v>6560000</v>
      </c>
      <c r="G19" s="1" t="s">
        <v>45</v>
      </c>
      <c r="H19" s="1">
        <f>162622.917702252/2</f>
        <v>81311.458851125994</v>
      </c>
      <c r="I19" s="1">
        <f>(D19-H19)</f>
        <v>17.841148874009377</v>
      </c>
      <c r="J19" s="1">
        <f>(D19-H19)/H19*1000000</f>
        <v>219.41739978709427</v>
      </c>
      <c r="L19" s="1">
        <v>0</v>
      </c>
      <c r="M19" s="1" t="str">
        <f t="shared" si="9"/>
        <v>0[12]</v>
      </c>
      <c r="N19" s="1">
        <f t="shared" si="10"/>
        <v>144764.84299988899</v>
      </c>
      <c r="O19" s="1">
        <f t="shared" si="10"/>
        <v>146886.06299988899</v>
      </c>
      <c r="P19" s="1">
        <f t="shared" si="10"/>
        <v>149007.28299988899</v>
      </c>
      <c r="Q19" s="1">
        <f t="shared" si="10"/>
        <v>151128.50299988899</v>
      </c>
      <c r="R19" s="1">
        <f t="shared" si="10"/>
        <v>153249.722999889</v>
      </c>
      <c r="S19" s="1">
        <f t="shared" si="10"/>
        <v>155370.942999889</v>
      </c>
    </row>
    <row r="20" spans="3:19" x14ac:dyDescent="0.3">
      <c r="C20" s="1">
        <f>D20*2</f>
        <v>325582.28000000003</v>
      </c>
      <c r="D20" s="1">
        <v>162791.14000000001</v>
      </c>
      <c r="E20" s="1">
        <v>0.66</v>
      </c>
      <c r="F20" s="12">
        <v>3920000</v>
      </c>
      <c r="G20" s="1" t="s">
        <v>45</v>
      </c>
      <c r="H20" s="1">
        <v>162749.92299988901</v>
      </c>
      <c r="I20" s="1">
        <f>(D20-H20)</f>
        <v>41.2170001110062</v>
      </c>
      <c r="J20" s="1">
        <f>(D20-H20)/H20*1000000</f>
        <v>253.25357672233312</v>
      </c>
    </row>
    <row r="21" spans="3:19" x14ac:dyDescent="0.3">
      <c r="D21" s="4">
        <v>81325.77</v>
      </c>
      <c r="E21" s="1">
        <v>0.33</v>
      </c>
      <c r="F21" s="12">
        <v>1960000</v>
      </c>
      <c r="G21" s="1" t="s">
        <v>45</v>
      </c>
      <c r="H21" s="1">
        <v>81311.458851125994</v>
      </c>
      <c r="I21" s="1">
        <f>(D21-H21)</f>
        <v>14.311148874010541</v>
      </c>
      <c r="J21" s="1">
        <f>(D21-H21)/H21*1000000</f>
        <v>176.0040844945726</v>
      </c>
      <c r="N21" s="1">
        <v>0</v>
      </c>
      <c r="O21" s="1">
        <v>1</v>
      </c>
      <c r="P21" s="1">
        <v>2</v>
      </c>
      <c r="Q21" s="1">
        <v>3</v>
      </c>
      <c r="R21" s="1">
        <v>4</v>
      </c>
      <c r="S21" s="1">
        <v>5</v>
      </c>
    </row>
    <row r="22" spans="3:19" x14ac:dyDescent="0.3">
      <c r="D22" s="1">
        <v>162932.17000000001</v>
      </c>
      <c r="E22" s="1">
        <v>0.18</v>
      </c>
      <c r="F22" s="12">
        <v>1060000</v>
      </c>
      <c r="G22" s="1" t="s">
        <v>45</v>
      </c>
      <c r="H22" s="1">
        <v>162881.80323906703</v>
      </c>
      <c r="I22" s="1">
        <f>(D22-H22)</f>
        <v>50.366760932985926</v>
      </c>
      <c r="J22" s="1">
        <f>(D22-H22)/H22*1000000</f>
        <v>309.22276111507045</v>
      </c>
      <c r="N22" s="1" t="str">
        <f>N21&amp;$M$1</f>
        <v>0[5]</v>
      </c>
      <c r="O22" s="1" t="str">
        <f t="shared" ref="O22:S22" si="11">O21&amp;$M$1</f>
        <v>1[5]</v>
      </c>
      <c r="P22" s="1" t="str">
        <f t="shared" si="11"/>
        <v>2[5]</v>
      </c>
      <c r="Q22" s="1" t="str">
        <f t="shared" si="11"/>
        <v>3[5]</v>
      </c>
      <c r="R22" s="1" t="str">
        <f t="shared" si="11"/>
        <v>4[5]</v>
      </c>
      <c r="S22" s="1" t="str">
        <f t="shared" si="11"/>
        <v>5[5]</v>
      </c>
    </row>
    <row r="23" spans="3:19" x14ac:dyDescent="0.3">
      <c r="D23" s="1">
        <v>162626.1</v>
      </c>
      <c r="E23" s="1">
        <v>0.08</v>
      </c>
      <c r="F23" s="12">
        <v>499000</v>
      </c>
      <c r="G23" s="1" t="s">
        <v>45</v>
      </c>
      <c r="H23" s="1">
        <v>162622.91770225202</v>
      </c>
      <c r="I23" s="1">
        <f>(D23-H23)</f>
        <v>3.1822977479896508</v>
      </c>
      <c r="J23" s="1">
        <f>(D23-H23)/H23*1000000</f>
        <v>19.568568766034272</v>
      </c>
      <c r="L23" s="1" t="s">
        <v>0</v>
      </c>
      <c r="M23" s="3">
        <v>144896.72323906701</v>
      </c>
      <c r="N23" s="1">
        <f>$M23+N21*$N$1</f>
        <v>144896.72323906701</v>
      </c>
      <c r="O23" s="1">
        <f t="shared" ref="O23:S23" si="12">$M23+O21*$N$1</f>
        <v>147017.94323906701</v>
      </c>
      <c r="P23" s="1">
        <f t="shared" si="12"/>
        <v>149139.16323906701</v>
      </c>
      <c r="Q23" s="1">
        <f t="shared" si="12"/>
        <v>151260.38323906701</v>
      </c>
      <c r="R23" s="1">
        <f t="shared" si="12"/>
        <v>153381.60323906702</v>
      </c>
      <c r="S23" s="1">
        <f t="shared" si="12"/>
        <v>155502.82323906702</v>
      </c>
    </row>
    <row r="24" spans="3:19" x14ac:dyDescent="0.3">
      <c r="D24" s="1">
        <v>161336.75</v>
      </c>
      <c r="E24" s="1">
        <v>0.63</v>
      </c>
      <c r="F24" s="12">
        <v>3750000</v>
      </c>
      <c r="G24" s="1" t="s">
        <v>54</v>
      </c>
      <c r="H24" s="1">
        <v>161308.47770225201</v>
      </c>
      <c r="I24" s="1">
        <f>(D24-H24)</f>
        <v>28.272297747986158</v>
      </c>
      <c r="J24" s="1">
        <f>(D24-H24)/H24*1000000</f>
        <v>175.26851750576932</v>
      </c>
      <c r="L24" s="1">
        <v>8</v>
      </c>
      <c r="M24" s="1" t="str">
        <f>L24&amp;$M$2</f>
        <v>8[12]</v>
      </c>
      <c r="N24" s="1">
        <f>N$23+$L24*$N$2</f>
        <v>158639.36323906702</v>
      </c>
      <c r="O24" s="1">
        <f t="shared" ref="O24:S28" si="13">O$23+$L24*$N$2</f>
        <v>160760.58323906703</v>
      </c>
      <c r="P24" s="5">
        <f t="shared" si="13"/>
        <v>162881.80323906703</v>
      </c>
      <c r="Q24" s="1">
        <f t="shared" si="13"/>
        <v>165003.02323906703</v>
      </c>
      <c r="R24" s="1">
        <f t="shared" si="13"/>
        <v>167124.24323906703</v>
      </c>
      <c r="S24" s="1">
        <f t="shared" si="13"/>
        <v>169245.46323906703</v>
      </c>
    </row>
    <row r="25" spans="3:19" x14ac:dyDescent="0.3">
      <c r="D25" s="1">
        <v>164772.39000000001</v>
      </c>
      <c r="E25" s="1">
        <v>5.39</v>
      </c>
      <c r="F25" s="12">
        <v>32100000</v>
      </c>
      <c r="G25" s="1" t="s">
        <v>50</v>
      </c>
      <c r="H25" s="1">
        <v>164744.13770225202</v>
      </c>
      <c r="I25" s="1">
        <f>(D25-H25)</f>
        <v>28.252297747996636</v>
      </c>
      <c r="J25" s="1">
        <f>(D25-H25)/H25*1000000</f>
        <v>171.49197623686024</v>
      </c>
      <c r="L25" s="1">
        <v>6</v>
      </c>
      <c r="M25" s="1" t="str">
        <f t="shared" ref="M25:M28" si="14">L25&amp;$M$2</f>
        <v>6[12]</v>
      </c>
      <c r="N25" s="1">
        <f t="shared" ref="N25:N28" si="15">N$23+$L25*$N$2</f>
        <v>155203.70323906702</v>
      </c>
      <c r="O25" s="1">
        <f t="shared" si="13"/>
        <v>157324.92323906702</v>
      </c>
      <c r="P25" s="1">
        <f t="shared" si="13"/>
        <v>159446.14323906702</v>
      </c>
      <c r="Q25" s="1">
        <f t="shared" si="13"/>
        <v>161567.36323906702</v>
      </c>
      <c r="R25" s="1">
        <f t="shared" si="13"/>
        <v>163688.58323906703</v>
      </c>
      <c r="S25" s="1">
        <f t="shared" si="13"/>
        <v>165809.80323906703</v>
      </c>
    </row>
    <row r="26" spans="3:19" x14ac:dyDescent="0.3">
      <c r="D26" s="1">
        <v>164908.32999999999</v>
      </c>
      <c r="E26" s="1">
        <v>0.66</v>
      </c>
      <c r="F26" s="12">
        <v>3910000</v>
      </c>
      <c r="G26" s="1" t="s">
        <v>50</v>
      </c>
      <c r="H26" s="1">
        <v>164871.14299988901</v>
      </c>
      <c r="I26" s="1">
        <f>(D26-H26)</f>
        <v>37.187000110978261</v>
      </c>
      <c r="J26" s="1">
        <f>(D26-H26)/H26*1000000</f>
        <v>225.55190334917066</v>
      </c>
      <c r="L26" s="1">
        <v>4</v>
      </c>
      <c r="M26" s="1" t="str">
        <f t="shared" si="14"/>
        <v>4[12]</v>
      </c>
      <c r="N26" s="1">
        <f t="shared" si="15"/>
        <v>151768.04323906702</v>
      </c>
      <c r="O26" s="1">
        <f t="shared" si="13"/>
        <v>153889.26323906702</v>
      </c>
      <c r="P26" s="1">
        <f t="shared" si="13"/>
        <v>156010.48323906702</v>
      </c>
      <c r="Q26" s="1">
        <f t="shared" si="13"/>
        <v>158131.70323906702</v>
      </c>
      <c r="R26" s="1">
        <f t="shared" si="13"/>
        <v>160252.92323906702</v>
      </c>
      <c r="S26" s="1">
        <f t="shared" si="13"/>
        <v>162374.14323906702</v>
      </c>
    </row>
    <row r="27" spans="3:19" x14ac:dyDescent="0.3">
      <c r="D27" s="1">
        <v>166898.47</v>
      </c>
      <c r="E27" s="1">
        <v>0.21</v>
      </c>
      <c r="F27" s="12">
        <v>1260000</v>
      </c>
      <c r="G27" s="1" t="s">
        <v>58</v>
      </c>
      <c r="H27" s="1">
        <v>166865.35770225202</v>
      </c>
      <c r="I27" s="1">
        <f>(D27-H27)</f>
        <v>33.112297747982666</v>
      </c>
      <c r="J27" s="1">
        <f>(D27-H27)/H27*1000000</f>
        <v>198.43722030708705</v>
      </c>
      <c r="L27" s="1">
        <v>2</v>
      </c>
      <c r="M27" s="1" t="str">
        <f t="shared" si="14"/>
        <v>2[12]</v>
      </c>
      <c r="N27" s="1">
        <f t="shared" si="15"/>
        <v>148332.38323906701</v>
      </c>
      <c r="O27" s="1">
        <f t="shared" si="13"/>
        <v>150453.60323906702</v>
      </c>
      <c r="P27" s="1">
        <f t="shared" si="13"/>
        <v>152574.82323906702</v>
      </c>
      <c r="Q27" s="1">
        <f t="shared" si="13"/>
        <v>154696.04323906702</v>
      </c>
      <c r="R27" s="1">
        <f t="shared" si="13"/>
        <v>156817.26323906702</v>
      </c>
      <c r="S27" s="1">
        <f t="shared" si="13"/>
        <v>158938.48323906702</v>
      </c>
    </row>
    <row r="28" spans="3:19" x14ac:dyDescent="0.3">
      <c r="D28" s="4">
        <v>54213.93</v>
      </c>
      <c r="E28" s="1">
        <v>0.41</v>
      </c>
      <c r="F28" s="12">
        <v>2450000</v>
      </c>
      <c r="G28" s="1" t="s">
        <v>99</v>
      </c>
      <c r="H28" s="1">
        <v>54225.78</v>
      </c>
      <c r="I28" s="1">
        <f>(D28-H28)</f>
        <v>-11.849999999998545</v>
      </c>
      <c r="J28" s="1">
        <f>(D28-H28)/H28*1000000</f>
        <v>-218.53074312621314</v>
      </c>
      <c r="L28" s="1">
        <v>0</v>
      </c>
      <c r="M28" s="1" t="str">
        <f t="shared" si="14"/>
        <v>0[12]</v>
      </c>
      <c r="N28" s="1">
        <f t="shared" si="15"/>
        <v>144896.72323906701</v>
      </c>
      <c r="O28" s="1">
        <f t="shared" si="13"/>
        <v>147017.94323906701</v>
      </c>
      <c r="P28" s="1">
        <f t="shared" si="13"/>
        <v>149139.16323906701</v>
      </c>
      <c r="Q28" s="1">
        <f t="shared" si="13"/>
        <v>151260.38323906701</v>
      </c>
      <c r="R28" s="1">
        <f t="shared" si="13"/>
        <v>153381.60323906702</v>
      </c>
      <c r="S28" s="1">
        <f t="shared" si="13"/>
        <v>155502.82323906702</v>
      </c>
    </row>
    <row r="29" spans="3:19" x14ac:dyDescent="0.3">
      <c r="D29" s="4">
        <v>81441.78</v>
      </c>
      <c r="E29" s="1">
        <v>0.51</v>
      </c>
      <c r="F29" s="12">
        <v>3040000</v>
      </c>
      <c r="G29" s="1" t="s">
        <v>97</v>
      </c>
      <c r="H29" s="1">
        <v>81454.920000000013</v>
      </c>
      <c r="I29" s="1">
        <f>(D29-H29)</f>
        <v>-13.14000000001397</v>
      </c>
      <c r="J29" s="1">
        <f>(D29-H29)/H29*1000000</f>
        <v>-161.31622251932686</v>
      </c>
    </row>
    <row r="30" spans="3:19" x14ac:dyDescent="0.3">
      <c r="D30" s="4">
        <v>25102.28</v>
      </c>
      <c r="E30" s="1">
        <v>6.12</v>
      </c>
      <c r="F30" s="12">
        <v>36500000</v>
      </c>
      <c r="G30" s="1" t="s">
        <v>91</v>
      </c>
      <c r="H30" s="1">
        <v>25107.920000000002</v>
      </c>
      <c r="I30" s="1">
        <f>(D30-H30)</f>
        <v>-5.6400000000030559</v>
      </c>
      <c r="J30" s="1">
        <f>(D30-H30)/H30*1000000</f>
        <v>-224.63031585264952</v>
      </c>
      <c r="N30" s="1">
        <v>0</v>
      </c>
      <c r="O30" s="1">
        <v>1</v>
      </c>
      <c r="P30" s="1">
        <v>2</v>
      </c>
      <c r="Q30" s="1">
        <v>3</v>
      </c>
      <c r="R30" s="1">
        <v>4</v>
      </c>
      <c r="S30" s="1">
        <v>5</v>
      </c>
    </row>
    <row r="31" spans="3:19" x14ac:dyDescent="0.3">
      <c r="C31" s="1">
        <f>D31*2</f>
        <v>51012.44</v>
      </c>
      <c r="D31" s="4">
        <v>25506.22</v>
      </c>
      <c r="E31" s="1">
        <v>0.84</v>
      </c>
      <c r="F31" s="12">
        <v>4980000</v>
      </c>
      <c r="G31" s="1" t="s">
        <v>95</v>
      </c>
      <c r="H31" s="1">
        <v>25511.31</v>
      </c>
      <c r="I31" s="1">
        <f>(D31-H31)</f>
        <v>-5.0900000000001455</v>
      </c>
      <c r="J31" s="1">
        <f>(D31-H31)/H31*1000000</f>
        <v>-199.51935043712555</v>
      </c>
      <c r="N31" s="1" t="str">
        <f>N30&amp;$M$1</f>
        <v>0[5]</v>
      </c>
      <c r="O31" s="1" t="str">
        <f t="shared" ref="O31:S31" si="16">O30&amp;$M$1</f>
        <v>1[5]</v>
      </c>
      <c r="P31" s="1" t="str">
        <f t="shared" si="16"/>
        <v>2[5]</v>
      </c>
      <c r="Q31" s="1" t="str">
        <f t="shared" si="16"/>
        <v>3[5]</v>
      </c>
      <c r="R31" s="1" t="str">
        <f t="shared" si="16"/>
        <v>4[5]</v>
      </c>
      <c r="S31" s="1" t="str">
        <f t="shared" si="16"/>
        <v>5[5]</v>
      </c>
    </row>
    <row r="32" spans="3:19" x14ac:dyDescent="0.3">
      <c r="D32" s="4">
        <v>27223.33</v>
      </c>
      <c r="E32" s="1">
        <v>23.64</v>
      </c>
      <c r="F32" s="12">
        <v>141000000</v>
      </c>
      <c r="G32" s="1" t="s">
        <v>89</v>
      </c>
      <c r="H32" s="1">
        <v>27229.140000000003</v>
      </c>
      <c r="I32" s="1">
        <f>(D32-H32)</f>
        <v>-5.8100000000013097</v>
      </c>
      <c r="J32" s="1">
        <f>(D32-H32)/H32*1000000</f>
        <v>-213.37434821670126</v>
      </c>
      <c r="L32" s="1" t="s">
        <v>77</v>
      </c>
      <c r="M32" s="1">
        <v>23390.09</v>
      </c>
      <c r="N32" s="1">
        <f>$M32+N30*$N$1</f>
        <v>23390.09</v>
      </c>
      <c r="O32" s="1">
        <f t="shared" ref="O32:S32" si="17">$M32+O30*$N$1</f>
        <v>25511.31</v>
      </c>
      <c r="P32" s="1">
        <f t="shared" si="17"/>
        <v>27632.53</v>
      </c>
      <c r="Q32" s="1">
        <f t="shared" si="17"/>
        <v>29753.75</v>
      </c>
      <c r="R32" s="1">
        <f t="shared" si="17"/>
        <v>31874.97</v>
      </c>
      <c r="S32" s="1">
        <f t="shared" si="17"/>
        <v>33996.19</v>
      </c>
    </row>
    <row r="33" spans="3:19" x14ac:dyDescent="0.3">
      <c r="D33" s="4">
        <v>29344.77</v>
      </c>
      <c r="E33" s="1">
        <v>1.23</v>
      </c>
      <c r="F33" s="12">
        <v>7330000</v>
      </c>
      <c r="G33" s="1" t="s">
        <v>93</v>
      </c>
      <c r="H33" s="1">
        <v>29350.36</v>
      </c>
      <c r="I33" s="1">
        <f>(D33-H33)</f>
        <v>-5.5900000000001455</v>
      </c>
      <c r="J33" s="1">
        <f>(D33-H33)/H33*1000000</f>
        <v>-190.45762982124054</v>
      </c>
      <c r="L33" s="1">
        <v>4</v>
      </c>
      <c r="M33" s="1" t="str">
        <f>L33&amp;$M$2</f>
        <v>4[12]</v>
      </c>
      <c r="N33" s="1">
        <f>N$32+$L33*$N$2</f>
        <v>30261.41</v>
      </c>
      <c r="O33" s="1">
        <f t="shared" ref="O33:S37" si="18">O$32+$L33*$N$2</f>
        <v>32382.63</v>
      </c>
      <c r="P33" s="1">
        <f t="shared" si="18"/>
        <v>34503.85</v>
      </c>
      <c r="Q33" s="1">
        <f t="shared" si="18"/>
        <v>36625.07</v>
      </c>
      <c r="R33" s="1">
        <f t="shared" si="18"/>
        <v>38746.29</v>
      </c>
      <c r="S33" s="1">
        <f t="shared" si="18"/>
        <v>40867.51</v>
      </c>
    </row>
    <row r="34" spans="3:19" x14ac:dyDescent="0.3">
      <c r="D34" s="4">
        <v>54085.79</v>
      </c>
      <c r="E34" s="1">
        <v>2.84</v>
      </c>
      <c r="F34" s="12">
        <v>16900000</v>
      </c>
      <c r="I34" s="1">
        <f>(D34-H34)</f>
        <v>54085.79</v>
      </c>
      <c r="J34" s="1" t="e">
        <f>(D34-H34)/H34*1000000</f>
        <v>#DIV/0!</v>
      </c>
      <c r="L34" s="1">
        <v>3</v>
      </c>
      <c r="M34" s="1" t="str">
        <f t="shared" ref="M34:M37" si="19">L34&amp;$M$2</f>
        <v>3[12]</v>
      </c>
      <c r="N34" s="1">
        <f t="shared" ref="N34:N37" si="20">N$32+$L34*$N$2</f>
        <v>28543.58</v>
      </c>
      <c r="O34" s="1">
        <f t="shared" si="18"/>
        <v>30664.800000000003</v>
      </c>
      <c r="P34" s="1">
        <f t="shared" si="18"/>
        <v>32786.019999999997</v>
      </c>
      <c r="Q34" s="1">
        <f t="shared" si="18"/>
        <v>34907.24</v>
      </c>
      <c r="R34" s="1">
        <f t="shared" si="18"/>
        <v>37028.46</v>
      </c>
      <c r="S34" s="1">
        <f t="shared" si="18"/>
        <v>39149.68</v>
      </c>
    </row>
    <row r="35" spans="3:19" x14ac:dyDescent="0.3">
      <c r="D35" s="4">
        <v>34905.26</v>
      </c>
      <c r="E35" s="1">
        <v>2.34</v>
      </c>
      <c r="F35" s="12">
        <v>13900000</v>
      </c>
      <c r="I35" s="1">
        <f>(D35-H35)</f>
        <v>34905.26</v>
      </c>
      <c r="J35" s="1" t="e">
        <f>(D35-H35)/H35*1000000</f>
        <v>#DIV/0!</v>
      </c>
      <c r="L35" s="1">
        <v>2</v>
      </c>
      <c r="M35" s="1" t="str">
        <f t="shared" si="19"/>
        <v>2[12]</v>
      </c>
      <c r="N35" s="1">
        <f t="shared" si="20"/>
        <v>26825.75</v>
      </c>
      <c r="O35" s="1">
        <f t="shared" si="18"/>
        <v>28946.97</v>
      </c>
      <c r="P35" s="1">
        <f t="shared" si="18"/>
        <v>31068.19</v>
      </c>
      <c r="Q35" s="1">
        <f t="shared" si="18"/>
        <v>33189.410000000003</v>
      </c>
      <c r="R35" s="1">
        <f t="shared" si="18"/>
        <v>35310.630000000005</v>
      </c>
      <c r="S35" s="1">
        <f t="shared" si="18"/>
        <v>37431.850000000006</v>
      </c>
    </row>
    <row r="36" spans="3:19" x14ac:dyDescent="0.3">
      <c r="C36" s="1">
        <f>D36*2</f>
        <v>69548.02</v>
      </c>
      <c r="D36" s="4">
        <v>34774.01</v>
      </c>
      <c r="E36" s="1">
        <v>1.77</v>
      </c>
      <c r="F36" s="12">
        <v>10600000</v>
      </c>
      <c r="I36" s="1">
        <f>(D36-H36)</f>
        <v>34774.01</v>
      </c>
      <c r="J36" s="1" t="e">
        <f>(D36-H36)/H36*1000000</f>
        <v>#DIV/0!</v>
      </c>
      <c r="L36" s="1">
        <v>1</v>
      </c>
      <c r="M36" s="1" t="str">
        <f t="shared" si="19"/>
        <v>1[12]</v>
      </c>
      <c r="N36" s="5">
        <f t="shared" si="20"/>
        <v>25107.920000000002</v>
      </c>
      <c r="O36" s="5">
        <f t="shared" si="18"/>
        <v>27229.140000000003</v>
      </c>
      <c r="P36" s="5">
        <f t="shared" si="18"/>
        <v>29350.36</v>
      </c>
      <c r="Q36" s="1">
        <f t="shared" si="18"/>
        <v>31471.58</v>
      </c>
      <c r="R36" s="1">
        <f t="shared" si="18"/>
        <v>33592.800000000003</v>
      </c>
      <c r="S36" s="1">
        <f t="shared" si="18"/>
        <v>35714.020000000004</v>
      </c>
    </row>
    <row r="37" spans="3:19" x14ac:dyDescent="0.3">
      <c r="D37" s="4">
        <v>79194.45</v>
      </c>
      <c r="E37" s="1">
        <v>1.71</v>
      </c>
      <c r="F37" s="12">
        <v>10200000</v>
      </c>
      <c r="I37" s="1">
        <f>(D37-H37)</f>
        <v>79194.45</v>
      </c>
      <c r="J37" s="1" t="e">
        <f>(D37-H37)/H37*1000000</f>
        <v>#DIV/0!</v>
      </c>
      <c r="L37" s="1">
        <v>0</v>
      </c>
      <c r="M37" s="1" t="str">
        <f t="shared" si="19"/>
        <v>0[12]</v>
      </c>
      <c r="N37" s="5">
        <f t="shared" si="20"/>
        <v>23390.09</v>
      </c>
      <c r="O37" s="5">
        <f t="shared" si="18"/>
        <v>25511.31</v>
      </c>
      <c r="P37" s="1">
        <f t="shared" si="18"/>
        <v>27632.53</v>
      </c>
      <c r="Q37" s="1">
        <f t="shared" si="18"/>
        <v>29753.75</v>
      </c>
      <c r="R37" s="1">
        <f t="shared" si="18"/>
        <v>31874.97</v>
      </c>
      <c r="S37" s="1">
        <f t="shared" si="18"/>
        <v>33996.19</v>
      </c>
    </row>
    <row r="38" spans="3:19" x14ac:dyDescent="0.3">
      <c r="D38" s="4">
        <v>160940.93</v>
      </c>
      <c r="E38" s="1">
        <v>1.32</v>
      </c>
      <c r="F38" s="12">
        <v>7870000</v>
      </c>
      <c r="I38" s="1">
        <f>(D38-H38)</f>
        <v>160940.93</v>
      </c>
      <c r="J38" s="1" t="e">
        <f>(D38-H38)/H38*1000000</f>
        <v>#DIV/0!</v>
      </c>
    </row>
    <row r="39" spans="3:19" x14ac:dyDescent="0.3">
      <c r="D39" s="4">
        <v>34703.03</v>
      </c>
      <c r="E39" s="1">
        <v>1</v>
      </c>
      <c r="F39" s="12">
        <v>5960000</v>
      </c>
      <c r="I39" s="1">
        <f>(D39-H39)</f>
        <v>34703.03</v>
      </c>
      <c r="J39" s="1" t="e">
        <f>(D39-H39)/H39*1000000</f>
        <v>#DIV/0!</v>
      </c>
      <c r="N39" s="1">
        <v>0</v>
      </c>
      <c r="O39" s="1">
        <v>1</v>
      </c>
      <c r="P39" s="1">
        <v>2</v>
      </c>
      <c r="Q39" s="1">
        <v>3</v>
      </c>
      <c r="R39" s="1">
        <v>4</v>
      </c>
      <c r="S39" s="1">
        <v>5</v>
      </c>
    </row>
    <row r="40" spans="3:19" x14ac:dyDescent="0.3">
      <c r="D40" s="4">
        <v>161950.66</v>
      </c>
      <c r="E40" s="1">
        <v>0.55000000000000004</v>
      </c>
      <c r="F40" s="12">
        <v>3290000</v>
      </c>
      <c r="I40" s="1">
        <f>(D40-H40)</f>
        <v>161950.66</v>
      </c>
      <c r="J40" s="1" t="e">
        <f>(D40-H40)/H40*1000000</f>
        <v>#DIV/0!</v>
      </c>
      <c r="N40" s="1" t="str">
        <f>N39&amp;$M$1</f>
        <v>0[5]</v>
      </c>
      <c r="O40" s="1" t="str">
        <f t="shared" ref="O40:S40" si="21">O39&amp;$M$1</f>
        <v>1[5]</v>
      </c>
      <c r="P40" s="1" t="str">
        <f t="shared" si="21"/>
        <v>2[5]</v>
      </c>
      <c r="Q40" s="1" t="str">
        <f t="shared" si="21"/>
        <v>3[5]</v>
      </c>
      <c r="R40" s="1" t="str">
        <f t="shared" si="21"/>
        <v>4[5]</v>
      </c>
      <c r="S40" s="1" t="str">
        <f t="shared" si="21"/>
        <v>5[5]</v>
      </c>
    </row>
    <row r="41" spans="3:19" x14ac:dyDescent="0.3">
      <c r="D41" s="4">
        <v>56206.87</v>
      </c>
      <c r="E41" s="1">
        <v>0.51</v>
      </c>
      <c r="F41" s="12">
        <v>3020000</v>
      </c>
      <c r="I41" s="1">
        <f>(D41-H41)</f>
        <v>56206.87</v>
      </c>
      <c r="J41" s="1" t="e">
        <f>(D41-H41)/H41*1000000</f>
        <v>#DIV/0!</v>
      </c>
      <c r="L41" s="1" t="s">
        <v>78</v>
      </c>
      <c r="M41" s="1">
        <f>49089.29-17</f>
        <v>49072.29</v>
      </c>
      <c r="N41" s="1">
        <f>$M41+N39*$N$1</f>
        <v>49072.29</v>
      </c>
      <c r="O41" s="1">
        <f t="shared" ref="O41:S41" si="22">$M41+O39*$N$1</f>
        <v>51193.51</v>
      </c>
      <c r="P41" s="1">
        <f t="shared" si="22"/>
        <v>53314.73</v>
      </c>
      <c r="Q41" s="1">
        <f t="shared" si="22"/>
        <v>55435.95</v>
      </c>
      <c r="R41" s="1">
        <f t="shared" si="22"/>
        <v>57557.17</v>
      </c>
      <c r="S41" s="1">
        <f t="shared" si="22"/>
        <v>59678.39</v>
      </c>
    </row>
    <row r="42" spans="3:19" x14ac:dyDescent="0.3">
      <c r="D42" s="4">
        <v>83440.259999999995</v>
      </c>
      <c r="E42" s="1">
        <v>0.49</v>
      </c>
      <c r="F42" s="12">
        <v>2900000</v>
      </c>
      <c r="I42" s="1">
        <f>(D42-H42)</f>
        <v>83440.259999999995</v>
      </c>
      <c r="J42" s="1" t="e">
        <f>(D42-H42)/H42*1000000</f>
        <v>#DIV/0!</v>
      </c>
      <c r="L42" s="1">
        <v>4</v>
      </c>
      <c r="M42" s="1" t="str">
        <f>L42&amp;$M$2</f>
        <v>4[12]</v>
      </c>
      <c r="N42" s="1">
        <f>N$41+$L42*$N$2</f>
        <v>55943.61</v>
      </c>
      <c r="O42" s="1">
        <f t="shared" ref="O42:S46" si="23">O$41+$L42*$N$2</f>
        <v>58064.83</v>
      </c>
      <c r="P42" s="1">
        <f t="shared" si="23"/>
        <v>60186.05</v>
      </c>
      <c r="Q42" s="1">
        <f t="shared" si="23"/>
        <v>62307.27</v>
      </c>
      <c r="R42" s="1">
        <f t="shared" si="23"/>
        <v>64428.49</v>
      </c>
      <c r="S42" s="1">
        <f t="shared" si="23"/>
        <v>66549.710000000006</v>
      </c>
    </row>
    <row r="43" spans="3:19" x14ac:dyDescent="0.3">
      <c r="D43" s="4">
        <v>27178.77</v>
      </c>
      <c r="E43" s="1">
        <v>0.46</v>
      </c>
      <c r="F43" s="12">
        <v>2770000</v>
      </c>
      <c r="I43" s="1">
        <f>(D43-H43)</f>
        <v>27178.77</v>
      </c>
      <c r="J43" s="1" t="e">
        <f>(D43-H43)/H43*1000000</f>
        <v>#DIV/0!</v>
      </c>
      <c r="L43" s="1">
        <v>3</v>
      </c>
      <c r="M43" s="1" t="str">
        <f t="shared" ref="M43:M46" si="24">L43&amp;$M$2</f>
        <v>3[12]</v>
      </c>
      <c r="N43" s="5">
        <f t="shared" ref="N43:N46" si="25">N$41+$L43*$N$2</f>
        <v>54225.78</v>
      </c>
      <c r="O43" s="1">
        <f t="shared" si="23"/>
        <v>56347</v>
      </c>
      <c r="P43" s="1">
        <f t="shared" si="23"/>
        <v>58468.22</v>
      </c>
      <c r="Q43" s="1">
        <f t="shared" si="23"/>
        <v>60589.439999999995</v>
      </c>
      <c r="R43" s="1">
        <f t="shared" si="23"/>
        <v>62710.659999999996</v>
      </c>
      <c r="S43" s="1">
        <f t="shared" si="23"/>
        <v>64831.88</v>
      </c>
    </row>
    <row r="44" spans="3:19" x14ac:dyDescent="0.3">
      <c r="D44" s="4">
        <v>104103.92</v>
      </c>
      <c r="E44" s="1">
        <v>0.43</v>
      </c>
      <c r="F44" s="12">
        <v>2560000</v>
      </c>
      <c r="I44" s="1">
        <f>(D44-H44)</f>
        <v>104103.92</v>
      </c>
      <c r="J44" s="1" t="e">
        <f>(D44-H44)/H44*1000000</f>
        <v>#DIV/0!</v>
      </c>
      <c r="L44" s="1">
        <v>2</v>
      </c>
      <c r="M44" s="1" t="str">
        <f t="shared" si="24"/>
        <v>2[12]</v>
      </c>
      <c r="N44" s="1">
        <f t="shared" si="25"/>
        <v>52507.950000000004</v>
      </c>
      <c r="O44" s="1">
        <f t="shared" si="23"/>
        <v>54629.170000000006</v>
      </c>
      <c r="P44" s="1">
        <f t="shared" si="23"/>
        <v>56750.390000000007</v>
      </c>
      <c r="Q44" s="1">
        <f t="shared" si="23"/>
        <v>58871.61</v>
      </c>
      <c r="R44" s="1">
        <f t="shared" si="23"/>
        <v>60992.83</v>
      </c>
      <c r="S44" s="1">
        <f t="shared" si="23"/>
        <v>63114.05</v>
      </c>
    </row>
    <row r="45" spans="3:19" x14ac:dyDescent="0.3">
      <c r="D45" s="4">
        <v>60244.24</v>
      </c>
      <c r="E45" s="1">
        <v>0.38</v>
      </c>
      <c r="F45" s="12">
        <v>2280000</v>
      </c>
      <c r="I45" s="1">
        <f>(D45-H45)</f>
        <v>60244.24</v>
      </c>
      <c r="J45" s="1" t="e">
        <f>(D45-H45)/H45*1000000</f>
        <v>#DIV/0!</v>
      </c>
      <c r="L45" s="1">
        <v>1</v>
      </c>
      <c r="M45" s="1" t="str">
        <f t="shared" si="24"/>
        <v>1[12]</v>
      </c>
      <c r="N45" s="1">
        <f t="shared" si="25"/>
        <v>50790.12</v>
      </c>
      <c r="O45" s="1">
        <f t="shared" si="23"/>
        <v>52911.340000000004</v>
      </c>
      <c r="P45" s="1">
        <f t="shared" si="23"/>
        <v>55032.560000000005</v>
      </c>
      <c r="Q45" s="1">
        <f t="shared" si="23"/>
        <v>57153.78</v>
      </c>
      <c r="R45" s="1">
        <f t="shared" si="23"/>
        <v>59275</v>
      </c>
      <c r="S45" s="1">
        <f t="shared" si="23"/>
        <v>61396.22</v>
      </c>
    </row>
    <row r="46" spans="3:19" x14ac:dyDescent="0.3">
      <c r="D46" s="4">
        <v>40573.42</v>
      </c>
      <c r="E46" s="1">
        <v>0.31</v>
      </c>
      <c r="F46" s="12">
        <v>1830000</v>
      </c>
      <c r="I46" s="1">
        <f>(D46-H46)</f>
        <v>40573.42</v>
      </c>
      <c r="J46" s="1" t="e">
        <f>(D46-H46)/H46*1000000</f>
        <v>#DIV/0!</v>
      </c>
      <c r="L46" s="1">
        <v>0</v>
      </c>
      <c r="M46" s="1" t="str">
        <f t="shared" si="24"/>
        <v>0[12]</v>
      </c>
      <c r="N46" s="1">
        <f t="shared" si="25"/>
        <v>49072.29</v>
      </c>
      <c r="O46" s="1">
        <f t="shared" si="23"/>
        <v>51193.51</v>
      </c>
      <c r="P46" s="1">
        <f t="shared" si="23"/>
        <v>53314.73</v>
      </c>
      <c r="Q46" s="1">
        <f t="shared" si="23"/>
        <v>55435.95</v>
      </c>
      <c r="R46" s="1">
        <f t="shared" si="23"/>
        <v>57557.17</v>
      </c>
      <c r="S46" s="1">
        <f t="shared" si="23"/>
        <v>59678.39</v>
      </c>
    </row>
    <row r="47" spans="3:19" x14ac:dyDescent="0.3">
      <c r="D47" s="4">
        <v>156532.66</v>
      </c>
      <c r="E47" s="1">
        <v>0.3</v>
      </c>
      <c r="F47" s="12">
        <v>1800000</v>
      </c>
      <c r="I47" s="1">
        <f>(D47-H47)</f>
        <v>156532.66</v>
      </c>
      <c r="J47" s="1" t="e">
        <f>(D47-H47)/H47*1000000</f>
        <v>#DIV/0!</v>
      </c>
    </row>
    <row r="48" spans="3:19" x14ac:dyDescent="0.3">
      <c r="D48" s="4">
        <v>27109.27</v>
      </c>
      <c r="E48" s="1">
        <v>0.27</v>
      </c>
      <c r="F48" s="12">
        <v>1620000</v>
      </c>
      <c r="I48" s="1">
        <f>(D48-H48)</f>
        <v>27109.27</v>
      </c>
      <c r="J48" s="1" t="e">
        <f>(D48-H48)/H48*1000000</f>
        <v>#DIV/0!</v>
      </c>
      <c r="N48" s="1">
        <v>0</v>
      </c>
      <c r="O48" s="1">
        <v>1</v>
      </c>
      <c r="P48" s="1">
        <v>2</v>
      </c>
      <c r="Q48" s="1">
        <v>3</v>
      </c>
      <c r="R48" s="1">
        <v>4</v>
      </c>
      <c r="S48" s="1">
        <v>5</v>
      </c>
    </row>
    <row r="49" spans="4:19" x14ac:dyDescent="0.3">
      <c r="D49" s="4">
        <v>18028.45</v>
      </c>
      <c r="E49" s="1">
        <v>0.27</v>
      </c>
      <c r="F49" s="12">
        <v>1610000</v>
      </c>
      <c r="I49" s="1">
        <f>(D49-H49)</f>
        <v>18028.45</v>
      </c>
      <c r="J49" s="1" t="e">
        <f>(D49-H49)/H49*1000000</f>
        <v>#DIV/0!</v>
      </c>
      <c r="N49" s="1" t="str">
        <f>N48&amp;$M$1</f>
        <v>0[5]</v>
      </c>
      <c r="O49" s="1" t="str">
        <f t="shared" ref="O49:S49" si="26">O48&amp;$M$1</f>
        <v>1[5]</v>
      </c>
      <c r="P49" s="1" t="str">
        <f t="shared" si="26"/>
        <v>2[5]</v>
      </c>
      <c r="Q49" s="1" t="str">
        <f t="shared" si="26"/>
        <v>3[5]</v>
      </c>
      <c r="R49" s="1" t="str">
        <f t="shared" si="26"/>
        <v>4[5]</v>
      </c>
      <c r="S49" s="1" t="str">
        <f t="shared" si="26"/>
        <v>5[5]</v>
      </c>
    </row>
    <row r="50" spans="4:19" x14ac:dyDescent="0.3">
      <c r="D50" s="4">
        <v>27044.959999999999</v>
      </c>
      <c r="E50" s="1">
        <v>0.25</v>
      </c>
      <c r="F50" s="12">
        <v>1480000</v>
      </c>
      <c r="I50" s="1">
        <f>(D50-H50)</f>
        <v>27044.959999999999</v>
      </c>
      <c r="J50" s="1" t="e">
        <f>(D50-H50)/H50*1000000</f>
        <v>#DIV/0!</v>
      </c>
      <c r="L50" s="1" t="s">
        <v>65</v>
      </c>
      <c r="M50" s="1">
        <f>72479.38-17</f>
        <v>72462.38</v>
      </c>
      <c r="N50" s="1">
        <f>$M50+N48*$N$1</f>
        <v>72462.38</v>
      </c>
      <c r="O50" s="1">
        <f t="shared" ref="O50:S50" si="27">$M50+O48*$N$1</f>
        <v>74583.600000000006</v>
      </c>
      <c r="P50" s="1">
        <f t="shared" si="27"/>
        <v>76704.820000000007</v>
      </c>
      <c r="Q50" s="1">
        <f t="shared" si="27"/>
        <v>78826.040000000008</v>
      </c>
      <c r="R50" s="1">
        <f t="shared" si="27"/>
        <v>80947.260000000009</v>
      </c>
      <c r="S50" s="1">
        <f t="shared" si="27"/>
        <v>83068.48000000001</v>
      </c>
    </row>
    <row r="51" spans="4:19" x14ac:dyDescent="0.3">
      <c r="D51" s="4">
        <v>79203.199999999997</v>
      </c>
      <c r="E51" s="1">
        <v>0.21</v>
      </c>
      <c r="F51" s="12">
        <v>1240000</v>
      </c>
      <c r="I51" s="1">
        <f>(D51-H51)</f>
        <v>79203.199999999997</v>
      </c>
      <c r="J51" s="1" t="e">
        <f>(D51-H51)/H51*1000000</f>
        <v>#DIV/0!</v>
      </c>
      <c r="L51" s="1">
        <v>4</v>
      </c>
      <c r="M51" s="1" t="str">
        <f>L51&amp;$M$2</f>
        <v>4[12]</v>
      </c>
      <c r="N51" s="1">
        <f>N$50+$L51*$N$2</f>
        <v>79333.700000000012</v>
      </c>
      <c r="O51" s="5">
        <f t="shared" ref="O51:S55" si="28">O$50+$L51*$N$2</f>
        <v>81454.920000000013</v>
      </c>
      <c r="P51" s="1">
        <f t="shared" si="28"/>
        <v>83576.140000000014</v>
      </c>
      <c r="Q51" s="1">
        <f t="shared" si="28"/>
        <v>85697.360000000015</v>
      </c>
      <c r="R51" s="1">
        <f t="shared" si="28"/>
        <v>87818.580000000016</v>
      </c>
      <c r="S51" s="1">
        <f t="shared" si="28"/>
        <v>89939.800000000017</v>
      </c>
    </row>
    <row r="52" spans="4:19" x14ac:dyDescent="0.3">
      <c r="D52" s="4">
        <v>84577</v>
      </c>
      <c r="E52" s="1">
        <v>0.19</v>
      </c>
      <c r="F52" s="12">
        <v>1160000</v>
      </c>
      <c r="I52" s="1">
        <f>(D52-H52)</f>
        <v>84577</v>
      </c>
      <c r="J52" s="1" t="e">
        <f>(D52-H52)/H52*1000000</f>
        <v>#DIV/0!</v>
      </c>
      <c r="L52" s="1">
        <v>3</v>
      </c>
      <c r="M52" s="1" t="str">
        <f t="shared" ref="M52:M55" si="29">L52&amp;$M$2</f>
        <v>3[12]</v>
      </c>
      <c r="N52" s="1">
        <f t="shared" ref="N52:N55" si="30">N$50+$L52*$N$2</f>
        <v>77615.87000000001</v>
      </c>
      <c r="O52" s="1">
        <f t="shared" si="28"/>
        <v>79737.090000000011</v>
      </c>
      <c r="P52" s="1">
        <f t="shared" si="28"/>
        <v>81858.310000000012</v>
      </c>
      <c r="Q52" s="1">
        <f t="shared" si="28"/>
        <v>83979.530000000013</v>
      </c>
      <c r="R52" s="1">
        <f t="shared" si="28"/>
        <v>86100.750000000015</v>
      </c>
      <c r="S52" s="1">
        <f t="shared" si="28"/>
        <v>88221.970000000016</v>
      </c>
    </row>
    <row r="53" spans="4:19" x14ac:dyDescent="0.3">
      <c r="D53" s="4">
        <v>22772.35</v>
      </c>
      <c r="E53" s="1">
        <v>0.19</v>
      </c>
      <c r="F53" s="12">
        <v>1150000</v>
      </c>
      <c r="I53" s="1">
        <f>(D53-H53)</f>
        <v>22772.35</v>
      </c>
      <c r="J53" s="1" t="e">
        <f>(D53-H53)/H53*1000000</f>
        <v>#DIV/0!</v>
      </c>
      <c r="L53" s="1">
        <v>2</v>
      </c>
      <c r="M53" s="1" t="str">
        <f t="shared" si="29"/>
        <v>2[12]</v>
      </c>
      <c r="N53" s="1">
        <f t="shared" si="30"/>
        <v>75898.040000000008</v>
      </c>
      <c r="O53" s="1">
        <f t="shared" si="28"/>
        <v>78019.260000000009</v>
      </c>
      <c r="P53" s="1">
        <f t="shared" si="28"/>
        <v>80140.48000000001</v>
      </c>
      <c r="Q53" s="1">
        <f t="shared" si="28"/>
        <v>82261.700000000012</v>
      </c>
      <c r="R53" s="1">
        <f t="shared" si="28"/>
        <v>84382.920000000013</v>
      </c>
      <c r="S53" s="1">
        <f t="shared" si="28"/>
        <v>86504.140000000014</v>
      </c>
    </row>
    <row r="54" spans="4:19" x14ac:dyDescent="0.3">
      <c r="D54" s="4">
        <v>81463.42</v>
      </c>
      <c r="E54" s="1">
        <v>0.17</v>
      </c>
      <c r="F54" s="12">
        <v>1040000</v>
      </c>
      <c r="I54" s="1">
        <f>(D54-H54)</f>
        <v>81463.42</v>
      </c>
      <c r="J54" s="1" t="e">
        <f>(D54-H54)/H54*1000000</f>
        <v>#DIV/0!</v>
      </c>
      <c r="L54" s="1">
        <v>1</v>
      </c>
      <c r="M54" s="1" t="str">
        <f t="shared" si="29"/>
        <v>1[12]</v>
      </c>
      <c r="N54" s="1">
        <f t="shared" si="30"/>
        <v>74180.210000000006</v>
      </c>
      <c r="O54" s="1">
        <f t="shared" si="28"/>
        <v>76301.430000000008</v>
      </c>
      <c r="P54" s="1">
        <f t="shared" si="28"/>
        <v>78422.650000000009</v>
      </c>
      <c r="Q54" s="1">
        <f t="shared" si="28"/>
        <v>80543.87000000001</v>
      </c>
      <c r="R54" s="1">
        <f t="shared" si="28"/>
        <v>82665.090000000011</v>
      </c>
      <c r="S54" s="1">
        <f t="shared" si="28"/>
        <v>84786.310000000012</v>
      </c>
    </row>
    <row r="55" spans="4:19" x14ac:dyDescent="0.3">
      <c r="D55" s="4">
        <v>79407.490000000005</v>
      </c>
      <c r="E55" s="1">
        <v>0.16</v>
      </c>
      <c r="F55" s="12">
        <v>959000</v>
      </c>
      <c r="I55" s="1">
        <f>(D55-H55)</f>
        <v>79407.490000000005</v>
      </c>
      <c r="J55" s="1" t="e">
        <f>(D55-H55)/H55*1000000</f>
        <v>#DIV/0!</v>
      </c>
      <c r="L55" s="1">
        <v>0</v>
      </c>
      <c r="M55" s="1" t="str">
        <f t="shared" si="29"/>
        <v>0[12]</v>
      </c>
      <c r="N55" s="1">
        <f t="shared" si="30"/>
        <v>72462.38</v>
      </c>
      <c r="O55" s="1">
        <f t="shared" si="28"/>
        <v>74583.600000000006</v>
      </c>
      <c r="P55" s="1">
        <f t="shared" si="28"/>
        <v>76704.820000000007</v>
      </c>
      <c r="Q55" s="1">
        <f t="shared" si="28"/>
        <v>78826.040000000008</v>
      </c>
      <c r="R55" s="1">
        <f t="shared" si="28"/>
        <v>80947.260000000009</v>
      </c>
      <c r="S55" s="1">
        <f t="shared" si="28"/>
        <v>83068.48000000001</v>
      </c>
    </row>
    <row r="56" spans="4:19" x14ac:dyDescent="0.3">
      <c r="D56" s="4">
        <v>20360.62</v>
      </c>
      <c r="E56" s="1">
        <v>0.15</v>
      </c>
      <c r="F56" s="12">
        <v>873000</v>
      </c>
      <c r="I56" s="1">
        <f>(D56-H56)</f>
        <v>20360.62</v>
      </c>
      <c r="J56" s="1" t="e">
        <f>(D56-H56)/H56*1000000</f>
        <v>#DIV/0!</v>
      </c>
    </row>
    <row r="57" spans="4:19" x14ac:dyDescent="0.3">
      <c r="D57" s="4">
        <v>96784.19</v>
      </c>
      <c r="E57" s="1">
        <v>0.13</v>
      </c>
      <c r="F57" s="12">
        <v>766000</v>
      </c>
      <c r="I57" s="1">
        <f>(D57-H57)</f>
        <v>96784.19</v>
      </c>
      <c r="J57" s="1" t="e">
        <f>(D57-H57)/H57*1000000</f>
        <v>#DIV/0!</v>
      </c>
    </row>
    <row r="58" spans="4:19" x14ac:dyDescent="0.3">
      <c r="D58" s="4">
        <v>65908.259999999995</v>
      </c>
      <c r="E58" s="1">
        <v>0.12</v>
      </c>
      <c r="F58" s="12">
        <v>703000</v>
      </c>
      <c r="I58" s="1">
        <f>(D58-H58)</f>
        <v>65908.259999999995</v>
      </c>
      <c r="J58" s="1" t="e">
        <f>(D58-H58)/H58*1000000</f>
        <v>#DIV/0!</v>
      </c>
    </row>
    <row r="59" spans="4:19" x14ac:dyDescent="0.3">
      <c r="D59" s="4">
        <v>27050.51</v>
      </c>
      <c r="E59" s="1">
        <v>0.11</v>
      </c>
      <c r="F59" s="12">
        <v>679000</v>
      </c>
      <c r="I59" s="1">
        <f>(D59-H59)</f>
        <v>27050.51</v>
      </c>
      <c r="J59" s="1" t="e">
        <f>(D59-H59)/H59*1000000</f>
        <v>#DIV/0!</v>
      </c>
    </row>
    <row r="60" spans="4:19" x14ac:dyDescent="0.3">
      <c r="D60" s="4">
        <v>83434.61</v>
      </c>
      <c r="E60" s="1">
        <v>0.11</v>
      </c>
      <c r="F60" s="12">
        <v>674000</v>
      </c>
      <c r="I60" s="1">
        <f>(D60-H60)</f>
        <v>83434.61</v>
      </c>
      <c r="J60" s="1" t="e">
        <f>(D60-H60)/H60*1000000</f>
        <v>#DIV/0!</v>
      </c>
    </row>
    <row r="61" spans="4:19" x14ac:dyDescent="0.3">
      <c r="D61" s="4">
        <v>31815.360000000001</v>
      </c>
      <c r="E61" s="1">
        <v>0.11</v>
      </c>
      <c r="F61" s="12">
        <v>672000</v>
      </c>
      <c r="I61" s="1">
        <f>(D61-H61)</f>
        <v>31815.360000000001</v>
      </c>
      <c r="J61" s="1" t="e">
        <f>(D61-H61)/H61*1000000</f>
        <v>#DIV/0!</v>
      </c>
    </row>
    <row r="62" spans="4:19" x14ac:dyDescent="0.3">
      <c r="D62" s="4">
        <v>92546.3</v>
      </c>
      <c r="E62" s="1">
        <v>0.11</v>
      </c>
      <c r="F62" s="12">
        <v>660000</v>
      </c>
      <c r="I62" s="1">
        <f>(D62-H62)</f>
        <v>92546.3</v>
      </c>
      <c r="J62" s="1" t="e">
        <f>(D62-H62)/H62*1000000</f>
        <v>#DIV/0!</v>
      </c>
    </row>
    <row r="63" spans="4:19" x14ac:dyDescent="0.3">
      <c r="D63" s="4">
        <v>42711.54</v>
      </c>
      <c r="E63" s="1">
        <v>0.11</v>
      </c>
      <c r="F63" s="12">
        <v>648000</v>
      </c>
      <c r="I63" s="1">
        <f>(D63-H63)</f>
        <v>42711.54</v>
      </c>
      <c r="J63" s="1" t="e">
        <f>(D63-H63)/H63*1000000</f>
        <v>#DIV/0!</v>
      </c>
    </row>
    <row r="64" spans="4:19" x14ac:dyDescent="0.3">
      <c r="D64" s="4">
        <v>162941.35</v>
      </c>
      <c r="E64" s="1">
        <v>0.11</v>
      </c>
      <c r="F64" s="12">
        <v>645000</v>
      </c>
      <c r="I64" s="1">
        <f>(D64-H64)</f>
        <v>162941.35</v>
      </c>
      <c r="J64" s="1" t="e">
        <f>(D64-H64)/H64*1000000</f>
        <v>#DIV/0!</v>
      </c>
    </row>
    <row r="65" spans="4:10" x14ac:dyDescent="0.3">
      <c r="D65" s="4">
        <v>54446.8</v>
      </c>
      <c r="E65" s="1">
        <v>0.1</v>
      </c>
      <c r="F65" s="12">
        <v>611000</v>
      </c>
      <c r="I65" s="1">
        <f>(D65-H65)</f>
        <v>54446.8</v>
      </c>
      <c r="J65" s="1" t="e">
        <f>(D65-H65)/H65*1000000</f>
        <v>#DIV/0!</v>
      </c>
    </row>
    <row r="66" spans="4:10" x14ac:dyDescent="0.3">
      <c r="D66" s="4">
        <v>91973.96</v>
      </c>
      <c r="E66" s="1">
        <v>0.1</v>
      </c>
      <c r="F66" s="12">
        <v>579000</v>
      </c>
      <c r="I66" s="1">
        <f>(D66-H66)</f>
        <v>91973.96</v>
      </c>
      <c r="J66" s="1" t="e">
        <f>(D66-H66)/H66*1000000</f>
        <v>#DIV/0!</v>
      </c>
    </row>
    <row r="67" spans="4:10" x14ac:dyDescent="0.3">
      <c r="D67" s="4">
        <v>139767.23000000001</v>
      </c>
      <c r="E67" s="1">
        <v>0.09</v>
      </c>
      <c r="F67" s="12">
        <v>559000</v>
      </c>
      <c r="I67" s="1">
        <f>(D67-H67)</f>
        <v>139767.23000000001</v>
      </c>
      <c r="J67" s="1" t="e">
        <f>(D67-H67)/H67*1000000</f>
        <v>#DIV/0!</v>
      </c>
    </row>
    <row r="68" spans="4:10" x14ac:dyDescent="0.3">
      <c r="D68" s="4">
        <v>81671.03</v>
      </c>
      <c r="E68" s="1">
        <v>0.09</v>
      </c>
      <c r="F68" s="12">
        <v>551000</v>
      </c>
      <c r="I68" s="1">
        <f>(D68-H68)</f>
        <v>81671.03</v>
      </c>
      <c r="J68" s="1" t="e">
        <f>(D68-H68)/H68*1000000</f>
        <v>#DIV/0!</v>
      </c>
    </row>
    <row r="69" spans="4:10" x14ac:dyDescent="0.3">
      <c r="D69" s="4">
        <v>140131.38</v>
      </c>
      <c r="E69" s="1">
        <v>0.08</v>
      </c>
      <c r="F69" s="12">
        <v>489000</v>
      </c>
      <c r="I69" s="1">
        <f>(D69-H69)</f>
        <v>140131.38</v>
      </c>
      <c r="J69" s="1" t="e">
        <f>(D69-H69)/H69*1000000</f>
        <v>#DIV/0!</v>
      </c>
    </row>
    <row r="70" spans="4:10" x14ac:dyDescent="0.3">
      <c r="D70" s="4">
        <v>159822.88</v>
      </c>
      <c r="E70" s="1">
        <v>0.08</v>
      </c>
      <c r="F70" s="12">
        <v>478000</v>
      </c>
      <c r="I70" s="1">
        <f>(D70-H70)</f>
        <v>159822.88</v>
      </c>
      <c r="J70" s="1" t="e">
        <f>(D70-H70)/H70*1000000</f>
        <v>#DIV/0!</v>
      </c>
    </row>
    <row r="71" spans="4:10" x14ac:dyDescent="0.3">
      <c r="D71" s="4">
        <v>107125.6</v>
      </c>
      <c r="E71" s="1">
        <v>0.08</v>
      </c>
      <c r="F71" s="12">
        <v>476000</v>
      </c>
      <c r="I71" s="1">
        <f>(D71-H71)</f>
        <v>107125.6</v>
      </c>
      <c r="J71" s="1" t="e">
        <f>(D71-H71)/H71*1000000</f>
        <v>#DIV/0!</v>
      </c>
    </row>
    <row r="72" spans="4:10" x14ac:dyDescent="0.3">
      <c r="D72" s="4">
        <v>130088.63</v>
      </c>
      <c r="E72" s="1">
        <v>0.08</v>
      </c>
      <c r="F72" s="12">
        <v>451000</v>
      </c>
      <c r="I72" s="1">
        <f>(D72-H72)</f>
        <v>130088.63</v>
      </c>
      <c r="J72" s="1" t="e">
        <f>(D72-H72)/H72*1000000</f>
        <v>#DIV/0!</v>
      </c>
    </row>
    <row r="73" spans="4:10" x14ac:dyDescent="0.3">
      <c r="D73" s="4">
        <v>120831.7</v>
      </c>
      <c r="E73" s="1">
        <v>0.08</v>
      </c>
      <c r="F73" s="12">
        <v>448000</v>
      </c>
      <c r="I73" s="1">
        <f>(D73-H73)</f>
        <v>120831.7</v>
      </c>
      <c r="J73" s="1" t="e">
        <f>(D73-H73)/H73*1000000</f>
        <v>#DIV/0!</v>
      </c>
    </row>
    <row r="74" spans="4:10" x14ac:dyDescent="0.3">
      <c r="D74" s="4">
        <v>117153.56</v>
      </c>
      <c r="E74" s="1">
        <v>7.0000000000000007E-2</v>
      </c>
      <c r="F74" s="12">
        <v>397000</v>
      </c>
      <c r="I74" s="1">
        <f>(D74-H74)</f>
        <v>117153.56</v>
      </c>
      <c r="J74" s="1" t="e">
        <f>(D74-H74)/H74*1000000</f>
        <v>#DIV/0!</v>
      </c>
    </row>
    <row r="75" spans="4:10" x14ac:dyDescent="0.3">
      <c r="D75" s="1">
        <v>161347.88</v>
      </c>
      <c r="E75" s="1">
        <v>0.06</v>
      </c>
      <c r="F75" s="12">
        <v>364000</v>
      </c>
      <c r="J75" s="1" t="e">
        <f>(D75-H75)/H75*1000000</f>
        <v>#DIV/0!</v>
      </c>
    </row>
    <row r="76" spans="4:10" x14ac:dyDescent="0.3">
      <c r="D76" s="1">
        <v>40719.730000000003</v>
      </c>
      <c r="E76" s="1">
        <v>0.06</v>
      </c>
      <c r="F76" s="12">
        <v>342000</v>
      </c>
      <c r="J76" s="1" t="e">
        <f>(D76-H76)/H76*1000000</f>
        <v>#DIV/0!</v>
      </c>
    </row>
    <row r="77" spans="4:10" x14ac:dyDescent="0.3">
      <c r="D77" s="1">
        <v>163362.20000000001</v>
      </c>
      <c r="E77" s="1">
        <v>0.06</v>
      </c>
      <c r="F77" s="12">
        <v>332000</v>
      </c>
      <c r="J77" s="1" t="e">
        <f>(D77-H77)/H77*1000000</f>
        <v>#DIV/0!</v>
      </c>
    </row>
    <row r="78" spans="4:10" x14ac:dyDescent="0.3">
      <c r="D78" s="1">
        <v>94339.95</v>
      </c>
      <c r="E78" s="1">
        <v>0.05</v>
      </c>
      <c r="F78" s="12">
        <v>293000</v>
      </c>
      <c r="J78" s="1" t="e">
        <f>(D78-H78)/H78*1000000</f>
        <v>#DIV/0!</v>
      </c>
    </row>
    <row r="79" spans="4:10" x14ac:dyDescent="0.3">
      <c r="D79" s="1">
        <v>67773.55</v>
      </c>
      <c r="E79" s="1">
        <v>0.05</v>
      </c>
      <c r="F79" s="12">
        <v>290000</v>
      </c>
      <c r="J79" s="1" t="e">
        <f>(D79-H79)/H79*1000000</f>
        <v>#DIV/0!</v>
      </c>
    </row>
    <row r="80" spans="4:10" x14ac:dyDescent="0.3">
      <c r="D80" s="1">
        <v>93078.3</v>
      </c>
      <c r="E80" s="1">
        <v>0.05</v>
      </c>
      <c r="F80" s="12">
        <v>288000</v>
      </c>
      <c r="J80" s="1" t="e">
        <f>(D80-H80)/H80*1000000</f>
        <v>#DIV/0!</v>
      </c>
    </row>
    <row r="81" spans="4:10" x14ac:dyDescent="0.3">
      <c r="D81" s="1">
        <v>81318.73</v>
      </c>
      <c r="E81" s="1">
        <v>0.05</v>
      </c>
      <c r="F81" s="12">
        <v>278000</v>
      </c>
      <c r="J81" s="1" t="e">
        <f>(D81-H81)/H81*1000000</f>
        <v>#DIV/0!</v>
      </c>
    </row>
    <row r="82" spans="4:10" x14ac:dyDescent="0.3">
      <c r="D82" s="1">
        <v>116937.94</v>
      </c>
      <c r="E82" s="1">
        <v>0.05</v>
      </c>
      <c r="F82" s="12">
        <v>272000</v>
      </c>
      <c r="J82" s="1" t="e">
        <f>(D82-H82)/H82*1000000</f>
        <v>#DIV/0!</v>
      </c>
    </row>
    <row r="83" spans="4:10" x14ac:dyDescent="0.3">
      <c r="D83" s="1">
        <v>161166.16</v>
      </c>
      <c r="E83" s="1">
        <v>0.04</v>
      </c>
      <c r="F83" s="12">
        <v>266000</v>
      </c>
      <c r="J83" s="1" t="e">
        <f>(D83-H83)/H83*1000000</f>
        <v>#DIV/0!</v>
      </c>
    </row>
    <row r="84" spans="4:10" x14ac:dyDescent="0.3">
      <c r="D84" s="1">
        <v>79321.740000000005</v>
      </c>
      <c r="E84" s="1">
        <v>0.04</v>
      </c>
      <c r="F84" s="12">
        <v>266000</v>
      </c>
      <c r="J84" s="1" t="e">
        <f>(D84-H84)/H84*1000000</f>
        <v>#DIV/0!</v>
      </c>
    </row>
    <row r="85" spans="4:10" x14ac:dyDescent="0.3">
      <c r="D85" s="1">
        <v>89976.8</v>
      </c>
      <c r="E85" s="1">
        <v>0.04</v>
      </c>
      <c r="F85" s="12">
        <v>260000</v>
      </c>
      <c r="J85" s="1" t="e">
        <f>(D85-H85)/H85*1000000</f>
        <v>#DIV/0!</v>
      </c>
    </row>
    <row r="86" spans="4:10" x14ac:dyDescent="0.3">
      <c r="D86" s="1">
        <v>78086.070000000007</v>
      </c>
      <c r="E86" s="1">
        <v>0.04</v>
      </c>
      <c r="F86" s="12">
        <v>257000</v>
      </c>
      <c r="J86" s="1" t="e">
        <f>(D86-H86)/H86*1000000</f>
        <v>#DIV/0!</v>
      </c>
    </row>
    <row r="87" spans="4:10" x14ac:dyDescent="0.3">
      <c r="D87" s="1">
        <v>92541.89</v>
      </c>
      <c r="E87" s="1">
        <v>0.04</v>
      </c>
      <c r="F87" s="12">
        <v>249000</v>
      </c>
      <c r="J87" s="1" t="e">
        <f>(D87-H87)/H87*1000000</f>
        <v>#DIV/0!</v>
      </c>
    </row>
    <row r="88" spans="4:10" x14ac:dyDescent="0.3">
      <c r="D88" s="1">
        <v>162635.79999999999</v>
      </c>
      <c r="E88" s="1">
        <v>0.04</v>
      </c>
      <c r="F88" s="12">
        <v>246000</v>
      </c>
      <c r="J88" s="1" t="e">
        <f>(D88-H88)/H88*1000000</f>
        <v>#DIV/0!</v>
      </c>
    </row>
    <row r="89" spans="4:10" x14ac:dyDescent="0.3">
      <c r="D89" s="1">
        <v>160819.63</v>
      </c>
      <c r="E89" s="1">
        <v>0.04</v>
      </c>
      <c r="F89" s="12">
        <v>242000</v>
      </c>
      <c r="J89" s="1" t="e">
        <f>(D89-H89)/H89*1000000</f>
        <v>#DIV/0!</v>
      </c>
    </row>
    <row r="90" spans="4:10" x14ac:dyDescent="0.3">
      <c r="D90" s="1">
        <v>27107.98</v>
      </c>
      <c r="E90" s="1">
        <v>0.04</v>
      </c>
      <c r="F90" s="12">
        <v>218000</v>
      </c>
      <c r="J90" s="1" t="e">
        <f>(D90-H90)/H90*1000000</f>
        <v>#DIV/0!</v>
      </c>
    </row>
    <row r="91" spans="4:10" x14ac:dyDescent="0.3">
      <c r="D91" s="1">
        <v>40721.4</v>
      </c>
      <c r="E91" s="1">
        <v>0.04</v>
      </c>
      <c r="F91" s="12">
        <v>218000</v>
      </c>
      <c r="J91" s="1" t="e">
        <f>(D91-H91)/H91*1000000</f>
        <v>#DIV/0!</v>
      </c>
    </row>
    <row r="92" spans="4:10" x14ac:dyDescent="0.3">
      <c r="D92" s="1">
        <v>93071.41</v>
      </c>
      <c r="E92" s="1">
        <v>0.04</v>
      </c>
      <c r="F92" s="12">
        <v>213000</v>
      </c>
      <c r="J92" s="1" t="e">
        <f>(D92-H92)/H92*1000000</f>
        <v>#DIV/0!</v>
      </c>
    </row>
    <row r="93" spans="4:10" x14ac:dyDescent="0.3">
      <c r="D93" s="1">
        <v>66644.25</v>
      </c>
      <c r="E93" s="1">
        <v>0.04</v>
      </c>
      <c r="F93" s="12">
        <v>210000</v>
      </c>
      <c r="J93" s="1" t="e">
        <f>(D93-H93)/H93*1000000</f>
        <v>#DIV/0!</v>
      </c>
    </row>
    <row r="94" spans="4:10" x14ac:dyDescent="0.3">
      <c r="D94" s="1">
        <v>124620.02</v>
      </c>
      <c r="E94" s="1">
        <v>0.03</v>
      </c>
      <c r="F94" s="12">
        <v>204000</v>
      </c>
      <c r="J94" s="1" t="e">
        <f>(D94-H94)/H94*1000000</f>
        <v>#DIV/0!</v>
      </c>
    </row>
    <row r="95" spans="4:10" x14ac:dyDescent="0.3">
      <c r="D95" s="1">
        <v>87119.08</v>
      </c>
      <c r="E95" s="1">
        <v>0.03</v>
      </c>
      <c r="F95" s="12">
        <v>187000</v>
      </c>
      <c r="J95" s="1" t="e">
        <f>(D95-H95)/H95*1000000</f>
        <v>#DIV/0!</v>
      </c>
    </row>
    <row r="96" spans="4:10" x14ac:dyDescent="0.3">
      <c r="D96" s="1">
        <v>108434.55</v>
      </c>
      <c r="E96" s="1">
        <v>0.03</v>
      </c>
      <c r="F96" s="12">
        <v>184000</v>
      </c>
      <c r="J96" s="1" t="e">
        <f>(D96-H96)/H96*1000000</f>
        <v>#DIV/0!</v>
      </c>
    </row>
    <row r="97" spans="4:10" x14ac:dyDescent="0.3">
      <c r="D97" s="1">
        <v>133074.79999999999</v>
      </c>
      <c r="E97" s="1">
        <v>0.03</v>
      </c>
      <c r="F97" s="12">
        <v>184000</v>
      </c>
      <c r="J97" s="1" t="e">
        <f>(D97-H97)/H97*1000000</f>
        <v>#DIV/0!</v>
      </c>
    </row>
    <row r="98" spans="4:10" x14ac:dyDescent="0.3">
      <c r="D98" s="1">
        <v>36530.6</v>
      </c>
      <c r="E98" s="1">
        <v>0.03</v>
      </c>
      <c r="F98" s="12">
        <v>175000</v>
      </c>
      <c r="J98" s="1" t="e">
        <f>(D98-H98)/H98*1000000</f>
        <v>#DIV/0!</v>
      </c>
    </row>
    <row r="99" spans="4:10" x14ac:dyDescent="0.3">
      <c r="D99" s="1">
        <v>84714.94</v>
      </c>
      <c r="E99" s="1">
        <v>0.03</v>
      </c>
      <c r="F99" s="12">
        <v>175000</v>
      </c>
      <c r="J99" s="1" t="e">
        <f>(D99-H99)/H99*1000000</f>
        <v>#DIV/0!</v>
      </c>
    </row>
    <row r="100" spans="4:10" x14ac:dyDescent="0.3">
      <c r="D100" s="1">
        <v>144643.06</v>
      </c>
      <c r="E100" s="1">
        <v>0.03</v>
      </c>
      <c r="F100" s="12">
        <v>172000</v>
      </c>
      <c r="J100" s="1" t="e">
        <f>(D100-H100)/H100*1000000</f>
        <v>#DIV/0!</v>
      </c>
    </row>
    <row r="101" spans="4:10" x14ac:dyDescent="0.3">
      <c r="D101" s="1">
        <v>163515.99</v>
      </c>
      <c r="E101" s="1">
        <v>0.03</v>
      </c>
      <c r="F101" s="12">
        <v>165000</v>
      </c>
      <c r="J101" s="1" t="e">
        <f>(D101-H101)/H101*1000000</f>
        <v>#DIV/0!</v>
      </c>
    </row>
    <row r="102" spans="4:10" x14ac:dyDescent="0.3">
      <c r="D102" s="1">
        <v>47843.4</v>
      </c>
      <c r="E102" s="1">
        <v>0.03</v>
      </c>
      <c r="F102" s="12">
        <v>162000</v>
      </c>
      <c r="J102" s="1" t="e">
        <f>(D102-H102)/H102*1000000</f>
        <v>#DIV/0!</v>
      </c>
    </row>
    <row r="103" spans="4:10" x14ac:dyDescent="0.3">
      <c r="D103" s="1">
        <v>78249.62</v>
      </c>
      <c r="E103" s="1">
        <v>0.03</v>
      </c>
      <c r="F103" s="12">
        <v>156000</v>
      </c>
      <c r="J103" s="1" t="e">
        <f>(D103-H103)/H103*1000000</f>
        <v>#DIV/0!</v>
      </c>
    </row>
    <row r="104" spans="4:10" x14ac:dyDescent="0.3">
      <c r="D104" s="1">
        <v>69548.95</v>
      </c>
      <c r="E104" s="1">
        <v>0.03</v>
      </c>
      <c r="F104" s="12">
        <v>150000</v>
      </c>
      <c r="J104" s="1" t="e">
        <f>(D104-H104)/H104*1000000</f>
        <v>#DIV/0!</v>
      </c>
    </row>
    <row r="105" spans="4:10" x14ac:dyDescent="0.3">
      <c r="D105" s="1">
        <v>83851.839999999997</v>
      </c>
      <c r="E105" s="1">
        <v>0.03</v>
      </c>
      <c r="F105" s="12">
        <v>150000</v>
      </c>
      <c r="J105" s="1" t="e">
        <f>(D105-H105)/H105*1000000</f>
        <v>#DIV/0!</v>
      </c>
    </row>
    <row r="106" spans="4:10" x14ac:dyDescent="0.3">
      <c r="D106" s="1">
        <v>36400.49</v>
      </c>
      <c r="E106" s="1">
        <v>0.02</v>
      </c>
      <c r="F106" s="12">
        <v>148000</v>
      </c>
      <c r="J106" s="1" t="e">
        <f>(D106-H106)/H106*1000000</f>
        <v>#DIV/0!</v>
      </c>
    </row>
    <row r="107" spans="4:10" x14ac:dyDescent="0.3">
      <c r="D107" s="1">
        <v>27210.62</v>
      </c>
      <c r="E107" s="1">
        <v>0.02</v>
      </c>
      <c r="F107" s="12">
        <v>147000</v>
      </c>
      <c r="J107" s="1" t="e">
        <f>(D107-H107)/H107*1000000</f>
        <v>#DIV/0!</v>
      </c>
    </row>
    <row r="108" spans="4:10" x14ac:dyDescent="0.3">
      <c r="D108" s="1">
        <v>44427.57</v>
      </c>
      <c r="E108" s="1">
        <v>0.02</v>
      </c>
      <c r="F108" s="12">
        <v>142000</v>
      </c>
      <c r="J108" s="1" t="e">
        <f>(D108-H108)/H108*1000000</f>
        <v>#DIV/0!</v>
      </c>
    </row>
    <row r="109" spans="4:10" x14ac:dyDescent="0.3">
      <c r="D109" s="1">
        <v>82192.92</v>
      </c>
      <c r="E109" s="1">
        <v>0.02</v>
      </c>
      <c r="F109" s="12">
        <v>135000</v>
      </c>
      <c r="J109" s="1" t="e">
        <f>(D109-H109)/H109*1000000</f>
        <v>#DIV/0!</v>
      </c>
    </row>
    <row r="110" spans="4:10" x14ac:dyDescent="0.3">
      <c r="D110" s="1">
        <v>164736.4</v>
      </c>
      <c r="E110" s="1">
        <v>0.02</v>
      </c>
      <c r="F110" s="12">
        <v>127000</v>
      </c>
      <c r="J110" s="1" t="e">
        <f>(D110-H110)/H110*1000000</f>
        <v>#DIV/0!</v>
      </c>
    </row>
    <row r="111" spans="4:10" x14ac:dyDescent="0.3">
      <c r="D111" s="1">
        <v>36368.379999999997</v>
      </c>
      <c r="E111" s="1">
        <v>0.02</v>
      </c>
      <c r="F111" s="12">
        <v>123000</v>
      </c>
      <c r="J111" s="1" t="e">
        <f>(D111-H111)/H111*1000000</f>
        <v>#DIV/0!</v>
      </c>
    </row>
    <row r="112" spans="4:10" x14ac:dyDescent="0.3">
      <c r="D112" s="1">
        <v>54947.040000000001</v>
      </c>
      <c r="E112" s="1">
        <v>0.02</v>
      </c>
      <c r="F112" s="12">
        <v>112000</v>
      </c>
      <c r="J112" s="1" t="e">
        <f>(D112-H112)/H112*1000000</f>
        <v>#DIV/0!</v>
      </c>
    </row>
    <row r="113" spans="4:10" x14ac:dyDescent="0.3">
      <c r="D113" s="1">
        <v>101214.04</v>
      </c>
      <c r="E113" s="1">
        <v>0.02</v>
      </c>
      <c r="F113" s="12">
        <v>108000</v>
      </c>
      <c r="J113" s="1" t="e">
        <f>(D113-H113)/H113*1000000</f>
        <v>#DIV/0!</v>
      </c>
    </row>
    <row r="114" spans="4:10" x14ac:dyDescent="0.3">
      <c r="D114" s="1">
        <v>34908.199999999997</v>
      </c>
      <c r="E114" s="1">
        <v>0.02</v>
      </c>
      <c r="F114" s="12">
        <v>103000</v>
      </c>
      <c r="J114" s="1" t="e">
        <f>(D114-H114)/H114*1000000</f>
        <v>#DIV/0!</v>
      </c>
    </row>
    <row r="115" spans="4:10" x14ac:dyDescent="0.3">
      <c r="D115" s="1">
        <v>162671.93</v>
      </c>
      <c r="E115" s="1">
        <v>0.02</v>
      </c>
      <c r="F115" s="12">
        <v>102000</v>
      </c>
      <c r="J115" s="1" t="e">
        <f>(D115-H115)/H115*1000000</f>
        <v>#DIV/0!</v>
      </c>
    </row>
    <row r="116" spans="4:10" x14ac:dyDescent="0.3">
      <c r="D116" s="1">
        <v>112953.47</v>
      </c>
      <c r="E116" s="1">
        <v>0.02</v>
      </c>
      <c r="F116" s="12">
        <v>101000</v>
      </c>
      <c r="J116" s="1" t="e">
        <f>(D116-H116)/H116*1000000</f>
        <v>#DIV/0!</v>
      </c>
    </row>
    <row r="117" spans="4:10" x14ac:dyDescent="0.3">
      <c r="D117" s="1">
        <v>54084.57</v>
      </c>
      <c r="E117" s="1">
        <v>0.02</v>
      </c>
      <c r="F117" s="12">
        <v>96900</v>
      </c>
      <c r="J117" s="1" t="e">
        <f>(D117-H117)/H117*1000000</f>
        <v>#DIV/0!</v>
      </c>
    </row>
    <row r="118" spans="4:10" x14ac:dyDescent="0.3">
      <c r="D118" s="1">
        <v>133087.67000000001</v>
      </c>
      <c r="E118" s="1">
        <v>0.02</v>
      </c>
      <c r="F118" s="12">
        <v>96000</v>
      </c>
      <c r="J118" s="1" t="e">
        <f>(D118-H118)/H118*1000000</f>
        <v>#DIV/0!</v>
      </c>
    </row>
    <row r="119" spans="4:10" x14ac:dyDescent="0.3">
      <c r="D119" s="1">
        <v>25386.82</v>
      </c>
      <c r="E119" s="1">
        <v>0.01</v>
      </c>
      <c r="F119" s="12">
        <v>88300</v>
      </c>
      <c r="J119" s="1" t="e">
        <f>(D119-H119)/H119*1000000</f>
        <v>#DIV/0!</v>
      </c>
    </row>
    <row r="120" spans="4:10" x14ac:dyDescent="0.3">
      <c r="D120" s="1">
        <v>96668.95</v>
      </c>
      <c r="E120" s="1">
        <v>0.01</v>
      </c>
      <c r="F120" s="12">
        <v>87300</v>
      </c>
      <c r="J120" s="1" t="e">
        <f>(D120-H120)/H120*1000000</f>
        <v>#DIV/0!</v>
      </c>
    </row>
    <row r="121" spans="4:10" x14ac:dyDescent="0.3">
      <c r="D121" s="1">
        <v>162763.51999999999</v>
      </c>
      <c r="E121" s="1">
        <v>0.01</v>
      </c>
      <c r="F121" s="12">
        <v>76600</v>
      </c>
      <c r="J121" s="1" t="e">
        <f>(D121-H121)/H121*1000000</f>
        <v>#DIV/0!</v>
      </c>
    </row>
    <row r="122" spans="4:10" x14ac:dyDescent="0.3">
      <c r="D122" s="1">
        <v>28685.72</v>
      </c>
      <c r="E122" s="1">
        <v>0.01</v>
      </c>
      <c r="F122" s="12">
        <v>57700</v>
      </c>
      <c r="J122" s="1" t="e">
        <f>(D122-H122)/H122*1000000</f>
        <v>#DIV/0!</v>
      </c>
    </row>
    <row r="123" spans="4:10" x14ac:dyDescent="0.3">
      <c r="D123" s="1">
        <v>162954.6</v>
      </c>
      <c r="E123" s="1">
        <v>0.01</v>
      </c>
      <c r="F123" s="12">
        <v>55100</v>
      </c>
      <c r="J123" s="1" t="e">
        <f>(D123-H123)/H123*1000000</f>
        <v>#DIV/0!</v>
      </c>
    </row>
    <row r="124" spans="4:10" x14ac:dyDescent="0.3">
      <c r="D124" s="1">
        <v>89824.68</v>
      </c>
      <c r="E124" s="1">
        <v>0.01</v>
      </c>
      <c r="F124" s="12">
        <v>53600</v>
      </c>
      <c r="J124" s="1" t="e">
        <f>(D124-H124)/H124*1000000</f>
        <v>#DIV/0!</v>
      </c>
    </row>
    <row r="125" spans="4:10" x14ac:dyDescent="0.3">
      <c r="D125" s="1">
        <v>77487.27</v>
      </c>
      <c r="E125" s="1">
        <v>0.01</v>
      </c>
      <c r="F125" s="12">
        <v>51100</v>
      </c>
      <c r="J125" s="1" t="e">
        <f>(D125-H125)/H125*1000000</f>
        <v>#DIV/0!</v>
      </c>
    </row>
    <row r="126" spans="4:10" x14ac:dyDescent="0.3">
      <c r="D126" s="1">
        <v>36237.35</v>
      </c>
      <c r="E126" s="1">
        <v>0.01</v>
      </c>
      <c r="F126" s="12">
        <v>49900</v>
      </c>
      <c r="J126" s="1" t="e">
        <f>(D126-H126)/H126*1000000</f>
        <v>#DIV/0!</v>
      </c>
    </row>
    <row r="127" spans="4:10" x14ac:dyDescent="0.3">
      <c r="D127" s="1">
        <v>50200.160000000003</v>
      </c>
      <c r="E127" s="1">
        <v>0.01</v>
      </c>
      <c r="F127" s="12">
        <v>49800</v>
      </c>
      <c r="J127" s="1" t="e">
        <f>(D127-H127)/H127*1000000</f>
        <v>#DIV/0!</v>
      </c>
    </row>
    <row r="128" spans="4:10" x14ac:dyDescent="0.3">
      <c r="D128" s="1">
        <v>144655.96</v>
      </c>
      <c r="E128" s="1">
        <v>0.01</v>
      </c>
      <c r="F128" s="12">
        <v>38600</v>
      </c>
      <c r="J128" s="1" t="e">
        <f>(D128-H128)/H128*1000000</f>
        <v>#DIV/0!</v>
      </c>
    </row>
    <row r="129" spans="4:10" x14ac:dyDescent="0.3">
      <c r="D129" s="1">
        <v>80321.119999999995</v>
      </c>
      <c r="E129" s="1">
        <v>0.01</v>
      </c>
      <c r="F129" s="12">
        <v>34000</v>
      </c>
      <c r="J129" s="1" t="e">
        <f>(D129-H129)/H129*1000000</f>
        <v>#DIV/0!</v>
      </c>
    </row>
    <row r="130" spans="4:10" x14ac:dyDescent="0.3">
      <c r="D130" s="1">
        <v>23179.78</v>
      </c>
      <c r="E130" s="1">
        <v>0.01</v>
      </c>
      <c r="F130" s="12">
        <v>31400</v>
      </c>
      <c r="J130" s="1" t="e">
        <f>(D130-H130)/H130*1000000</f>
        <v>#DIV/0!</v>
      </c>
    </row>
    <row r="131" spans="4:10" x14ac:dyDescent="0.3">
      <c r="D131" s="1">
        <v>112781.93</v>
      </c>
      <c r="E131" s="1">
        <v>0</v>
      </c>
      <c r="F131" s="12">
        <v>24900</v>
      </c>
      <c r="J131" s="1" t="e">
        <f>(D131-H131)/H131*1000000</f>
        <v>#DIV/0!</v>
      </c>
    </row>
    <row r="132" spans="4:10" x14ac:dyDescent="0.3">
      <c r="D132" s="1">
        <v>137600.29999999999</v>
      </c>
      <c r="E132" s="1">
        <v>0</v>
      </c>
      <c r="F132" s="12">
        <v>22700</v>
      </c>
      <c r="J132" s="1" t="e">
        <f>(D132-H132)/H132*1000000</f>
        <v>#DIV/0!</v>
      </c>
    </row>
    <row r="133" spans="4:10" x14ac:dyDescent="0.3">
      <c r="D133" s="1">
        <v>133023.20000000001</v>
      </c>
      <c r="E133" s="1">
        <v>0</v>
      </c>
      <c r="F133" s="12">
        <v>20500</v>
      </c>
      <c r="J133" s="1" t="e">
        <f>(D133-H133)/H133*1000000</f>
        <v>#DIV/0!</v>
      </c>
    </row>
    <row r="134" spans="4:10" x14ac:dyDescent="0.3">
      <c r="D134" s="1">
        <v>69297.03</v>
      </c>
      <c r="E134" s="1">
        <v>0</v>
      </c>
      <c r="F134" s="12">
        <v>20400</v>
      </c>
      <c r="J134" s="1" t="e">
        <f>(D134-H134)/H134*1000000</f>
        <v>#DIV/0!</v>
      </c>
    </row>
    <row r="135" spans="4:10" x14ac:dyDescent="0.3">
      <c r="D135" s="1">
        <v>54527.95</v>
      </c>
      <c r="E135" s="1">
        <v>0</v>
      </c>
      <c r="F135" s="12">
        <v>20000</v>
      </c>
      <c r="J135" s="1" t="e">
        <f>(D135-H135)/H135*1000000</f>
        <v>#DIV/0!</v>
      </c>
    </row>
    <row r="136" spans="4:10" x14ac:dyDescent="0.3">
      <c r="D136" s="1">
        <v>27269.1</v>
      </c>
      <c r="E136" s="1">
        <v>0</v>
      </c>
      <c r="F136" s="12">
        <v>19500</v>
      </c>
      <c r="J136" s="1" t="e">
        <f>(D136-H136)/H136*1000000</f>
        <v>#DIV/0!</v>
      </c>
    </row>
    <row r="137" spans="4:10" x14ac:dyDescent="0.3">
      <c r="D137" s="1">
        <v>167972.62</v>
      </c>
      <c r="E137" s="1">
        <v>0</v>
      </c>
      <c r="F137" s="12">
        <v>18600</v>
      </c>
      <c r="J137" s="1" t="e">
        <f>(D137-H137)/H137*1000000</f>
        <v>#DIV/0!</v>
      </c>
    </row>
    <row r="138" spans="4:10" x14ac:dyDescent="0.3">
      <c r="D138" s="1">
        <v>156897.04999999999</v>
      </c>
      <c r="E138" s="1">
        <v>0</v>
      </c>
      <c r="F138" s="12">
        <v>17700</v>
      </c>
      <c r="J138" s="1" t="e">
        <f>(D138-H138)/H138*1000000</f>
        <v>#DIV/0!</v>
      </c>
    </row>
    <row r="139" spans="4:10" x14ac:dyDescent="0.3">
      <c r="D139" s="1">
        <v>114438.76</v>
      </c>
      <c r="E139" s="1">
        <v>0</v>
      </c>
      <c r="F139" s="12">
        <v>16300</v>
      </c>
      <c r="J139" s="1" t="e">
        <f>(D139-H139)/H139*1000000</f>
        <v>#DIV/0!</v>
      </c>
    </row>
    <row r="140" spans="4:10" x14ac:dyDescent="0.3">
      <c r="D140" s="1">
        <v>117764.64</v>
      </c>
      <c r="E140" s="1">
        <v>0</v>
      </c>
      <c r="F140" s="12">
        <v>14800</v>
      </c>
      <c r="J140" s="1" t="e">
        <f>(D140-H140)/H140*1000000</f>
        <v>#DIV/0!</v>
      </c>
    </row>
    <row r="141" spans="4:10" x14ac:dyDescent="0.3">
      <c r="D141" s="1">
        <v>58167.64</v>
      </c>
      <c r="E141" s="1">
        <v>0</v>
      </c>
      <c r="F141" s="12">
        <v>14700</v>
      </c>
      <c r="J141" s="1" t="e">
        <f>(D141-H141)/H141*1000000</f>
        <v>#DIV/0!</v>
      </c>
    </row>
    <row r="142" spans="4:10" x14ac:dyDescent="0.3">
      <c r="D142" s="1">
        <v>157559.09</v>
      </c>
      <c r="E142" s="1">
        <v>0</v>
      </c>
      <c r="F142" s="12">
        <v>13200</v>
      </c>
      <c r="J142" s="1" t="e">
        <f>(D142-H142)/H142*1000000</f>
        <v>#DIV/0!</v>
      </c>
    </row>
    <row r="143" spans="4:10" x14ac:dyDescent="0.3">
      <c r="D143" s="1">
        <v>78236.320000000007</v>
      </c>
      <c r="E143" s="1">
        <v>0</v>
      </c>
      <c r="F143" s="12">
        <v>11800</v>
      </c>
      <c r="J143" s="1" t="e">
        <f>(D143-H143)/H143*1000000</f>
        <v>#DIV/0!</v>
      </c>
    </row>
    <row r="144" spans="4:10" x14ac:dyDescent="0.3">
      <c r="D144" s="1">
        <v>132051.18</v>
      </c>
      <c r="E144" s="1">
        <v>0</v>
      </c>
      <c r="F144" s="12">
        <v>11400</v>
      </c>
      <c r="J144" s="1" t="e">
        <f>(D144-H144)/H144*1000000</f>
        <v>#DIV/0!</v>
      </c>
    </row>
    <row r="145" spans="4:10" x14ac:dyDescent="0.3">
      <c r="D145" s="1">
        <v>142968.25</v>
      </c>
      <c r="E145" s="1">
        <v>0</v>
      </c>
      <c r="F145" s="12">
        <v>11300</v>
      </c>
      <c r="J145" s="1" t="e">
        <f>(D145-H145)/H145*1000000</f>
        <v>#DIV/0!</v>
      </c>
    </row>
    <row r="146" spans="4:10" x14ac:dyDescent="0.3">
      <c r="D146" s="1">
        <v>136454.35999999999</v>
      </c>
      <c r="E146" s="1">
        <v>0</v>
      </c>
      <c r="F146" s="12">
        <v>10800</v>
      </c>
      <c r="J146" s="1" t="e">
        <f>(D146-H146)/H146*1000000</f>
        <v>#DIV/0!</v>
      </c>
    </row>
    <row r="147" spans="4:10" x14ac:dyDescent="0.3">
      <c r="D147" s="1">
        <v>115918.71</v>
      </c>
      <c r="E147" s="1">
        <v>0</v>
      </c>
      <c r="F147" s="12">
        <v>10700</v>
      </c>
      <c r="J147" s="1" t="e">
        <f>(D147-H147)/H147*1000000</f>
        <v>#DIV/0!</v>
      </c>
    </row>
    <row r="148" spans="4:10" x14ac:dyDescent="0.3">
      <c r="D148" s="1">
        <v>100054.19</v>
      </c>
      <c r="E148" s="1">
        <v>0</v>
      </c>
      <c r="F148" s="12">
        <v>10700</v>
      </c>
      <c r="J148" s="1" t="e">
        <f>(D148-H148)/H148*1000000</f>
        <v>#DIV/0!</v>
      </c>
    </row>
    <row r="149" spans="4:10" x14ac:dyDescent="0.3">
      <c r="D149" s="1">
        <v>46366.9</v>
      </c>
      <c r="E149" s="1">
        <v>0</v>
      </c>
      <c r="F149" s="12">
        <v>9420</v>
      </c>
      <c r="J149" s="1" t="e">
        <f>(D149-H149)/H149*1000000</f>
        <v>#DIV/0!</v>
      </c>
    </row>
    <row r="150" spans="4:10" x14ac:dyDescent="0.3">
      <c r="D150" s="1">
        <v>79511.13</v>
      </c>
      <c r="E150" s="1">
        <v>0</v>
      </c>
      <c r="F150" s="12">
        <v>7500</v>
      </c>
      <c r="J150" s="1" t="e">
        <f>(D150-H150)/H150*1000000</f>
        <v>#DIV/0!</v>
      </c>
    </row>
    <row r="151" spans="4:10" x14ac:dyDescent="0.3">
      <c r="D151" s="1">
        <v>103398.47</v>
      </c>
      <c r="E151" s="1">
        <v>0</v>
      </c>
      <c r="F151" s="12">
        <v>7410</v>
      </c>
      <c r="J151" s="1" t="e">
        <f>(D151-H151)/H151*1000000</f>
        <v>#DIV/0!</v>
      </c>
    </row>
    <row r="152" spans="4:10" x14ac:dyDescent="0.3">
      <c r="D152" s="1">
        <v>104789.93</v>
      </c>
      <c r="E152" s="1">
        <v>0</v>
      </c>
      <c r="F152" s="12">
        <v>7290</v>
      </c>
      <c r="J152" s="1" t="e">
        <f>(D152-H152)/H152*1000000</f>
        <v>#DIV/0!</v>
      </c>
    </row>
    <row r="153" spans="4:10" x14ac:dyDescent="0.3">
      <c r="D153" s="1">
        <v>74096.7</v>
      </c>
      <c r="E153" s="1">
        <v>0</v>
      </c>
      <c r="F153" s="12">
        <v>7190</v>
      </c>
      <c r="J153" s="1" t="e">
        <f>(D153-H153)/H153*1000000</f>
        <v>#DIV/0!</v>
      </c>
    </row>
    <row r="154" spans="4:10" x14ac:dyDescent="0.3">
      <c r="D154" s="1">
        <v>72892.61</v>
      </c>
      <c r="E154" s="1">
        <v>0</v>
      </c>
      <c r="F154" s="12">
        <v>7060</v>
      </c>
      <c r="J154" s="1" t="e">
        <f>(D154-H154)/H154*1000000</f>
        <v>#DIV/0!</v>
      </c>
    </row>
    <row r="155" spans="4:10" x14ac:dyDescent="0.3">
      <c r="D155" s="1">
        <v>30209.53</v>
      </c>
      <c r="E155" s="1">
        <v>0</v>
      </c>
      <c r="F155" s="12">
        <v>6970</v>
      </c>
      <c r="J155" s="1" t="e">
        <f>(D155-H155)/H155*1000000</f>
        <v>#DIV/0!</v>
      </c>
    </row>
    <row r="156" spans="4:10" x14ac:dyDescent="0.3">
      <c r="D156" s="1">
        <v>93338.12</v>
      </c>
      <c r="E156" s="1">
        <v>0</v>
      </c>
      <c r="F156" s="12">
        <v>6920</v>
      </c>
      <c r="J156" s="1" t="e">
        <f>(D156-H156)/H156*1000000</f>
        <v>#DIV/0!</v>
      </c>
    </row>
    <row r="157" spans="4:10" x14ac:dyDescent="0.3">
      <c r="D157" s="1">
        <v>26400.27</v>
      </c>
      <c r="E157" s="1">
        <v>0</v>
      </c>
      <c r="F157" s="12">
        <v>6320</v>
      </c>
    </row>
    <row r="158" spans="4:10" x14ac:dyDescent="0.3">
      <c r="D158" s="1">
        <v>168053.82</v>
      </c>
      <c r="E158" s="1">
        <v>0</v>
      </c>
      <c r="F158" s="12">
        <v>4820</v>
      </c>
    </row>
    <row r="159" spans="4:10" x14ac:dyDescent="0.3">
      <c r="D159" s="1">
        <v>61361.46</v>
      </c>
      <c r="E159" s="1">
        <v>0</v>
      </c>
      <c r="F159" s="12">
        <v>4210</v>
      </c>
    </row>
    <row r="160" spans="4:10" x14ac:dyDescent="0.3">
      <c r="D160" s="1">
        <v>121577.44</v>
      </c>
      <c r="E160" s="1">
        <v>0</v>
      </c>
      <c r="F160" s="12">
        <v>3510</v>
      </c>
    </row>
  </sheetData>
  <sortState xmlns:xlrd2="http://schemas.microsoft.com/office/spreadsheetml/2017/richdata2" ref="D6:J160">
    <sortCondition ref="G6:G160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91F6-E450-4263-83BA-AC69ADFC147A}">
  <sheetPr>
    <tabColor theme="5" tint="0.59999389629810485"/>
  </sheetPr>
  <dimension ref="A1:O29"/>
  <sheetViews>
    <sheetView topLeftCell="B1" workbookViewId="0">
      <selection activeCell="I19" sqref="I19"/>
    </sheetView>
  </sheetViews>
  <sheetFormatPr defaultRowHeight="14" x14ac:dyDescent="0.3"/>
  <cols>
    <col min="1" max="1" width="13.59765625" style="8" bestFit="1" customWidth="1"/>
    <col min="2" max="2" width="20.3984375" style="8" bestFit="1" customWidth="1"/>
    <col min="3" max="3" width="11.3984375" style="8" bestFit="1" customWidth="1"/>
    <col min="4" max="4" width="14.8984375" style="8" bestFit="1" customWidth="1"/>
    <col min="5" max="6" width="13.5" style="8" bestFit="1" customWidth="1"/>
    <col min="7" max="7" width="14.59765625" style="8" bestFit="1" customWidth="1"/>
    <col min="8" max="8" width="8.796875" style="8"/>
    <col min="9" max="9" width="13.5" style="8" bestFit="1" customWidth="1"/>
    <col min="10" max="10" width="10.796875" style="8" bestFit="1" customWidth="1"/>
    <col min="11" max="11" width="17.5" style="8" bestFit="1" customWidth="1"/>
    <col min="12" max="12" width="10.796875" style="8" bestFit="1" customWidth="1"/>
    <col min="13" max="13" width="11.796875" style="8" bestFit="1" customWidth="1"/>
    <col min="14" max="14" width="10.796875" style="8" bestFit="1" customWidth="1"/>
    <col min="15" max="15" width="8.8984375" style="8" bestFit="1" customWidth="1"/>
    <col min="16" max="16384" width="8.796875" style="8"/>
  </cols>
  <sheetData>
    <row r="1" spans="1:15" ht="28" x14ac:dyDescent="0.3">
      <c r="A1" s="8" t="s">
        <v>2</v>
      </c>
      <c r="B1" s="8" t="s">
        <v>85</v>
      </c>
      <c r="C1" s="9" t="s">
        <v>87</v>
      </c>
      <c r="D1" s="8" t="s">
        <v>6</v>
      </c>
      <c r="E1" s="8" t="s">
        <v>8</v>
      </c>
      <c r="F1" s="8" t="s">
        <v>12</v>
      </c>
      <c r="G1" s="8" t="s">
        <v>10</v>
      </c>
      <c r="I1" s="13" t="s">
        <v>2</v>
      </c>
      <c r="J1" s="14" t="s">
        <v>87</v>
      </c>
      <c r="K1" s="14" t="s">
        <v>37</v>
      </c>
      <c r="L1" s="13" t="s">
        <v>61</v>
      </c>
      <c r="M1" s="13" t="s">
        <v>39</v>
      </c>
      <c r="N1" s="13" t="s">
        <v>62</v>
      </c>
      <c r="O1" s="13" t="s">
        <v>41</v>
      </c>
    </row>
    <row r="2" spans="1:15" x14ac:dyDescent="0.3">
      <c r="A2" s="8">
        <v>158405.89000000001</v>
      </c>
      <c r="B2" s="8">
        <v>0.59</v>
      </c>
      <c r="C2" s="8">
        <v>3540000</v>
      </c>
      <c r="D2" s="8" t="s">
        <v>55</v>
      </c>
      <c r="E2" s="8">
        <v>158380.47770225201</v>
      </c>
      <c r="F2" s="8">
        <v>25.412297748000128</v>
      </c>
      <c r="G2" s="8">
        <v>160.45094772206758</v>
      </c>
      <c r="I2" s="13" t="s">
        <v>55</v>
      </c>
      <c r="J2" s="13">
        <v>4775000</v>
      </c>
      <c r="K2" s="15">
        <f>J2/J$16</f>
        <v>1.6497887233917582E-2</v>
      </c>
      <c r="L2" s="13">
        <v>0</v>
      </c>
      <c r="M2" s="13">
        <v>8</v>
      </c>
      <c r="N2" s="15">
        <f>L2*K2</f>
        <v>0</v>
      </c>
      <c r="O2" s="15">
        <f>M2*K2</f>
        <v>0.13198309787134066</v>
      </c>
    </row>
    <row r="3" spans="1:15" x14ac:dyDescent="0.3">
      <c r="A3" s="8">
        <v>158391.94</v>
      </c>
      <c r="B3" s="8">
        <v>0.14000000000000001</v>
      </c>
      <c r="C3" s="8">
        <v>820000</v>
      </c>
      <c r="D3" s="8" t="s">
        <v>55</v>
      </c>
      <c r="E3" s="8">
        <v>158380.47770225201</v>
      </c>
      <c r="F3" s="8">
        <v>11.462297747988487</v>
      </c>
      <c r="G3" s="8">
        <v>72.371910441746977</v>
      </c>
      <c r="I3" s="13" t="s">
        <v>47</v>
      </c>
      <c r="J3" s="13">
        <v>64490000</v>
      </c>
      <c r="K3" s="15">
        <f t="shared" ref="K3:K15" si="0">J3/J$16</f>
        <v>0.22281649166813505</v>
      </c>
      <c r="L3" s="13">
        <v>1</v>
      </c>
      <c r="M3" s="13">
        <v>8</v>
      </c>
      <c r="N3" s="15">
        <f t="shared" ref="N3:N15" si="1">L3*K3</f>
        <v>0.22281649166813505</v>
      </c>
      <c r="O3" s="15">
        <f t="shared" ref="O3:O15" si="2">M3*K3</f>
        <v>1.7825319333450804</v>
      </c>
    </row>
    <row r="4" spans="1:15" x14ac:dyDescent="0.3">
      <c r="A4" s="8">
        <v>158390.41</v>
      </c>
      <c r="B4" s="8">
        <v>7.0000000000000007E-2</v>
      </c>
      <c r="C4" s="8">
        <v>415000</v>
      </c>
      <c r="D4" s="8" t="s">
        <v>55</v>
      </c>
      <c r="E4" s="8">
        <v>158380.47770225201</v>
      </c>
      <c r="F4" s="8">
        <v>9.9322977479896508</v>
      </c>
      <c r="G4" s="8">
        <v>62.711628933598199</v>
      </c>
      <c r="I4" s="13" t="s">
        <v>59</v>
      </c>
      <c r="J4" s="13">
        <v>371000</v>
      </c>
      <c r="K4" s="15">
        <f t="shared" si="0"/>
        <v>1.2818253746143295E-3</v>
      </c>
      <c r="L4" s="13">
        <v>2</v>
      </c>
      <c r="M4" s="13">
        <v>4</v>
      </c>
      <c r="N4" s="15">
        <f t="shared" si="1"/>
        <v>2.5636507492286589E-3</v>
      </c>
      <c r="O4" s="15">
        <f t="shared" si="2"/>
        <v>5.1273014984573179E-3</v>
      </c>
    </row>
    <row r="5" spans="1:15" x14ac:dyDescent="0.3">
      <c r="A5" s="8">
        <v>160528.31</v>
      </c>
      <c r="B5" s="8">
        <v>9.2100000000000009</v>
      </c>
      <c r="C5" s="8">
        <v>54900000</v>
      </c>
      <c r="D5" s="8" t="s">
        <v>47</v>
      </c>
      <c r="E5" s="8">
        <v>160501.69770225202</v>
      </c>
      <c r="F5" s="8">
        <v>26.612297747982666</v>
      </c>
      <c r="G5" s="8">
        <v>165.80695487315873</v>
      </c>
      <c r="I5" s="13" t="s">
        <v>51</v>
      </c>
      <c r="J5" s="13">
        <v>5386000</v>
      </c>
      <c r="K5" s="15">
        <f t="shared" si="0"/>
        <v>1.8608925788875415E-2</v>
      </c>
      <c r="L5" s="13">
        <v>2</v>
      </c>
      <c r="M5" s="13">
        <v>6</v>
      </c>
      <c r="N5" s="15">
        <f t="shared" si="1"/>
        <v>3.721785157775083E-2</v>
      </c>
      <c r="O5" s="15">
        <f t="shared" si="2"/>
        <v>0.11165355473325249</v>
      </c>
    </row>
    <row r="6" spans="1:15" x14ac:dyDescent="0.3">
      <c r="A6" s="8">
        <v>160665.5</v>
      </c>
      <c r="B6" s="8">
        <v>1.35</v>
      </c>
      <c r="C6" s="8">
        <v>8030000</v>
      </c>
      <c r="D6" s="8" t="s">
        <v>47</v>
      </c>
      <c r="E6" s="8">
        <v>160628.70299988901</v>
      </c>
      <c r="F6" s="8">
        <v>36.797000110993395</v>
      </c>
      <c r="G6" s="8">
        <v>229.08110084795257</v>
      </c>
      <c r="I6" s="13" t="s">
        <v>44</v>
      </c>
      <c r="J6" s="13">
        <v>167899000</v>
      </c>
      <c r="K6" s="15">
        <f t="shared" si="0"/>
        <v>0.58010026569372319</v>
      </c>
      <c r="L6" s="13">
        <v>2</v>
      </c>
      <c r="M6" s="13">
        <v>8</v>
      </c>
      <c r="N6" s="15">
        <f t="shared" si="1"/>
        <v>1.1602005313874464</v>
      </c>
      <c r="O6" s="15">
        <f t="shared" si="2"/>
        <v>4.6408021255497856</v>
      </c>
    </row>
    <row r="7" spans="1:15" x14ac:dyDescent="0.3">
      <c r="A7" s="8">
        <v>160670.34</v>
      </c>
      <c r="B7" s="8">
        <v>0.26</v>
      </c>
      <c r="C7" s="8">
        <v>1560000</v>
      </c>
      <c r="D7" s="8" t="s">
        <v>47</v>
      </c>
      <c r="E7" s="8">
        <v>160628.70299988901</v>
      </c>
      <c r="F7" s="8">
        <v>41.637000110989902</v>
      </c>
      <c r="G7" s="8">
        <v>259.21270192300983</v>
      </c>
      <c r="I7" s="13" t="s">
        <v>53</v>
      </c>
      <c r="J7" s="13">
        <v>3750000</v>
      </c>
      <c r="K7" s="15">
        <f t="shared" si="0"/>
        <v>1.2956455942867212E-2</v>
      </c>
      <c r="L7" s="13">
        <v>3</v>
      </c>
      <c r="M7" s="13">
        <v>6</v>
      </c>
      <c r="N7" s="15">
        <f t="shared" si="1"/>
        <v>3.8869367828601634E-2</v>
      </c>
      <c r="O7" s="15">
        <f t="shared" si="2"/>
        <v>7.7738735657203267E-2</v>
      </c>
    </row>
    <row r="8" spans="1:15" x14ac:dyDescent="0.3">
      <c r="A8" s="8">
        <v>155769.76</v>
      </c>
      <c r="B8" s="8">
        <v>0.06</v>
      </c>
      <c r="C8" s="8">
        <v>371000</v>
      </c>
      <c r="D8" s="8" t="s">
        <v>59</v>
      </c>
      <c r="E8" s="8">
        <v>155751.59770225201</v>
      </c>
      <c r="F8" s="8">
        <v>18.162297748000128</v>
      </c>
      <c r="G8" s="8">
        <v>116.6106673442973</v>
      </c>
      <c r="I8" s="13" t="s">
        <v>49</v>
      </c>
      <c r="J8" s="13">
        <v>36010000</v>
      </c>
      <c r="K8" s="15">
        <f t="shared" si="0"/>
        <v>0.12441652760070622</v>
      </c>
      <c r="L8" s="13">
        <v>3</v>
      </c>
      <c r="M8" s="13">
        <v>8</v>
      </c>
      <c r="N8" s="15">
        <f t="shared" si="1"/>
        <v>0.37324958280211867</v>
      </c>
      <c r="O8" s="15">
        <f t="shared" si="2"/>
        <v>0.99533222080564976</v>
      </c>
    </row>
    <row r="9" spans="1:15" x14ac:dyDescent="0.3">
      <c r="A9" s="8">
        <v>159218.60999999999</v>
      </c>
      <c r="B9" s="8">
        <v>0.69</v>
      </c>
      <c r="C9" s="8">
        <v>4100000</v>
      </c>
      <c r="D9" s="8" t="s">
        <v>51</v>
      </c>
      <c r="E9" s="8">
        <v>159187.25770225201</v>
      </c>
      <c r="F9" s="8">
        <v>31.352297747973353</v>
      </c>
      <c r="G9" s="8">
        <v>196.95230761883911</v>
      </c>
      <c r="I9" s="13" t="s">
        <v>57</v>
      </c>
      <c r="J9" s="13">
        <v>1260000</v>
      </c>
      <c r="K9" s="15">
        <f t="shared" si="0"/>
        <v>4.3533691968033828E-3</v>
      </c>
      <c r="L9" s="13">
        <v>4</v>
      </c>
      <c r="M9" s="13">
        <v>8</v>
      </c>
      <c r="N9" s="15">
        <f t="shared" si="1"/>
        <v>1.7413476787213531E-2</v>
      </c>
      <c r="O9" s="15">
        <f t="shared" si="2"/>
        <v>3.4826953574427062E-2</v>
      </c>
    </row>
    <row r="10" spans="1:15" x14ac:dyDescent="0.3">
      <c r="A10" s="8">
        <v>159212.76999999999</v>
      </c>
      <c r="B10" s="8">
        <v>0.13</v>
      </c>
      <c r="C10" s="8">
        <v>783000</v>
      </c>
      <c r="D10" s="8" t="s">
        <v>51</v>
      </c>
      <c r="E10" s="8">
        <v>159187.25770225201</v>
      </c>
      <c r="F10" s="8">
        <v>25.512297747976845</v>
      </c>
      <c r="G10" s="8">
        <v>160.26595417389316</v>
      </c>
      <c r="I10" s="13" t="s">
        <v>98</v>
      </c>
      <c r="J10" s="13">
        <v>2450000</v>
      </c>
      <c r="K10" s="15">
        <f t="shared" si="0"/>
        <v>8.464884549339911E-3</v>
      </c>
      <c r="L10" s="13">
        <v>0</v>
      </c>
      <c r="M10" s="13">
        <v>3</v>
      </c>
      <c r="N10" s="15">
        <f t="shared" si="1"/>
        <v>0</v>
      </c>
      <c r="O10" s="15">
        <f t="shared" si="2"/>
        <v>2.5394653648019731E-2</v>
      </c>
    </row>
    <row r="11" spans="1:15" x14ac:dyDescent="0.3">
      <c r="A11" s="8">
        <v>159346.45000000001</v>
      </c>
      <c r="B11" s="8">
        <v>0.08</v>
      </c>
      <c r="C11" s="8">
        <v>503000</v>
      </c>
      <c r="D11" s="8" t="s">
        <v>51</v>
      </c>
      <c r="E11" s="8">
        <v>159314.262999889</v>
      </c>
      <c r="F11" s="8">
        <v>32.187000111007364</v>
      </c>
      <c r="G11" s="8">
        <v>202.03464212761534</v>
      </c>
      <c r="I11" s="13" t="s">
        <v>96</v>
      </c>
      <c r="J11" s="13">
        <v>3040000</v>
      </c>
      <c r="K11" s="15">
        <f t="shared" si="0"/>
        <v>1.0503366951017687E-2</v>
      </c>
      <c r="L11" s="13">
        <v>1</v>
      </c>
      <c r="M11" s="13">
        <v>4</v>
      </c>
      <c r="N11" s="15">
        <f t="shared" si="1"/>
        <v>1.0503366951017687E-2</v>
      </c>
      <c r="O11" s="15">
        <f t="shared" si="2"/>
        <v>4.2013467804070746E-2</v>
      </c>
    </row>
    <row r="12" spans="1:15" x14ac:dyDescent="0.3">
      <c r="A12" s="8">
        <v>162648.59</v>
      </c>
      <c r="B12" s="8">
        <v>18.89</v>
      </c>
      <c r="C12" s="8">
        <v>113000000</v>
      </c>
      <c r="D12" s="8" t="s">
        <v>44</v>
      </c>
      <c r="E12" s="8">
        <v>162622.91770225202</v>
      </c>
      <c r="F12" s="8">
        <v>25.672297747980338</v>
      </c>
      <c r="G12" s="8">
        <v>157.86395983242664</v>
      </c>
      <c r="I12" s="13" t="s">
        <v>90</v>
      </c>
      <c r="J12" s="13">
        <v>36500000</v>
      </c>
      <c r="K12" s="15">
        <f t="shared" si="0"/>
        <v>0.12610950451057421</v>
      </c>
      <c r="L12" s="13">
        <v>0</v>
      </c>
      <c r="M12" s="13">
        <v>1</v>
      </c>
      <c r="N12" s="15">
        <f t="shared" si="1"/>
        <v>0</v>
      </c>
      <c r="O12" s="15">
        <f t="shared" si="2"/>
        <v>0.12610950451057421</v>
      </c>
    </row>
    <row r="13" spans="1:15" x14ac:dyDescent="0.3">
      <c r="A13" s="8">
        <v>81312.53</v>
      </c>
      <c r="B13" s="8">
        <v>4.87</v>
      </c>
      <c r="C13" s="8">
        <v>29000000</v>
      </c>
      <c r="D13" s="8" t="s">
        <v>44</v>
      </c>
      <c r="E13" s="8">
        <v>81311.458851125994</v>
      </c>
      <c r="F13" s="8">
        <v>1.0711488740053028</v>
      </c>
      <c r="G13" s="8">
        <v>13.173406173494937</v>
      </c>
      <c r="I13" s="13" t="s">
        <v>94</v>
      </c>
      <c r="J13" s="13">
        <v>4980000</v>
      </c>
      <c r="K13" s="15">
        <f t="shared" si="0"/>
        <v>1.7206173492127656E-2</v>
      </c>
      <c r="L13" s="13">
        <v>1</v>
      </c>
      <c r="M13" s="13">
        <v>0</v>
      </c>
      <c r="N13" s="15">
        <f t="shared" si="1"/>
        <v>1.7206173492127656E-2</v>
      </c>
      <c r="O13" s="15">
        <f t="shared" si="2"/>
        <v>0</v>
      </c>
    </row>
    <row r="14" spans="1:15" x14ac:dyDescent="0.3">
      <c r="A14" s="8">
        <v>162791.15</v>
      </c>
      <c r="B14" s="8">
        <v>2</v>
      </c>
      <c r="C14" s="8">
        <v>11900000</v>
      </c>
      <c r="D14" s="8" t="s">
        <v>44</v>
      </c>
      <c r="E14" s="8">
        <v>162749.92299988901</v>
      </c>
      <c r="F14" s="8">
        <v>41.22700011098641</v>
      </c>
      <c r="G14" s="8">
        <v>253.31502068369352</v>
      </c>
      <c r="I14" s="13" t="s">
        <v>88</v>
      </c>
      <c r="J14" s="13">
        <v>141000000</v>
      </c>
      <c r="K14" s="15">
        <f t="shared" si="0"/>
        <v>0.48716274345180716</v>
      </c>
      <c r="L14" s="13">
        <v>1</v>
      </c>
      <c r="M14" s="13">
        <v>1</v>
      </c>
      <c r="N14" s="15">
        <f t="shared" si="1"/>
        <v>0.48716274345180716</v>
      </c>
      <c r="O14" s="15">
        <f t="shared" si="2"/>
        <v>0.48716274345180716</v>
      </c>
    </row>
    <row r="15" spans="1:15" x14ac:dyDescent="0.3">
      <c r="A15" s="8">
        <v>81329.3</v>
      </c>
      <c r="B15" s="8">
        <v>1.1000000000000001</v>
      </c>
      <c r="C15" s="8">
        <v>6560000</v>
      </c>
      <c r="D15" s="8" t="s">
        <v>44</v>
      </c>
      <c r="E15" s="8">
        <v>81311.458851125994</v>
      </c>
      <c r="F15" s="8">
        <v>17.841148874009377</v>
      </c>
      <c r="G15" s="8">
        <v>219.41739978709427</v>
      </c>
      <c r="I15" s="13" t="s">
        <v>92</v>
      </c>
      <c r="J15" s="13">
        <v>7330000</v>
      </c>
      <c r="K15" s="15">
        <f t="shared" si="0"/>
        <v>2.5325552549657775E-2</v>
      </c>
      <c r="L15" s="13">
        <v>2</v>
      </c>
      <c r="M15" s="13">
        <v>1</v>
      </c>
      <c r="N15" s="15">
        <f t="shared" si="1"/>
        <v>5.0651105099315551E-2</v>
      </c>
      <c r="O15" s="15">
        <f t="shared" si="2"/>
        <v>2.5325552549657775E-2</v>
      </c>
    </row>
    <row r="16" spans="1:15" x14ac:dyDescent="0.3">
      <c r="A16" s="8">
        <v>162791.14000000001</v>
      </c>
      <c r="B16" s="8">
        <v>0.66</v>
      </c>
      <c r="C16" s="8">
        <v>3920000</v>
      </c>
      <c r="D16" s="8" t="s">
        <v>44</v>
      </c>
      <c r="E16" s="8">
        <v>162749.92299988901</v>
      </c>
      <c r="F16" s="8">
        <v>41.2170001110062</v>
      </c>
      <c r="G16" s="8">
        <v>253.25357672233312</v>
      </c>
      <c r="I16" s="13" t="s">
        <v>35</v>
      </c>
      <c r="J16" s="13">
        <f>SUM(J2:J11)</f>
        <v>289431000</v>
      </c>
      <c r="K16" s="15">
        <f>J16/J$16</f>
        <v>1</v>
      </c>
      <c r="L16" s="13"/>
      <c r="M16" s="13" t="s">
        <v>42</v>
      </c>
      <c r="N16" s="16">
        <f>SUM(N2:N15)</f>
        <v>2.4178543417947629</v>
      </c>
      <c r="O16" s="16">
        <f>SUM(O2:O15)</f>
        <v>8.4860018449993273</v>
      </c>
    </row>
    <row r="17" spans="1:7" x14ac:dyDescent="0.3">
      <c r="A17" s="8">
        <v>81325.77</v>
      </c>
      <c r="B17" s="8">
        <v>0.33</v>
      </c>
      <c r="C17" s="8">
        <v>1960000</v>
      </c>
      <c r="D17" s="8" t="s">
        <v>44</v>
      </c>
      <c r="E17" s="8">
        <v>81311.458851125994</v>
      </c>
      <c r="F17" s="8">
        <v>14.311148874010541</v>
      </c>
      <c r="G17" s="8">
        <v>176.0040844945726</v>
      </c>
    </row>
    <row r="18" spans="1:7" x14ac:dyDescent="0.3">
      <c r="A18" s="8">
        <v>162932.17000000001</v>
      </c>
      <c r="B18" s="8">
        <v>0.18</v>
      </c>
      <c r="C18" s="8">
        <v>1060000</v>
      </c>
      <c r="D18" s="8" t="s">
        <v>44</v>
      </c>
      <c r="E18" s="8">
        <v>162881.80323906703</v>
      </c>
      <c r="F18" s="8">
        <v>50.366760932985926</v>
      </c>
      <c r="G18" s="8">
        <v>309.22276111507045</v>
      </c>
    </row>
    <row r="19" spans="1:7" x14ac:dyDescent="0.3">
      <c r="A19" s="8">
        <v>162626.1</v>
      </c>
      <c r="B19" s="8">
        <v>0.08</v>
      </c>
      <c r="C19" s="8">
        <v>499000</v>
      </c>
      <c r="D19" s="8" t="s">
        <v>44</v>
      </c>
      <c r="E19" s="8">
        <v>162622.91770225202</v>
      </c>
      <c r="F19" s="8">
        <v>3.1822977479896508</v>
      </c>
      <c r="G19" s="8">
        <v>19.568568766034272</v>
      </c>
    </row>
    <row r="20" spans="1:7" x14ac:dyDescent="0.3">
      <c r="A20" s="8">
        <v>161336.75</v>
      </c>
      <c r="B20" s="8">
        <v>0.63</v>
      </c>
      <c r="C20" s="8">
        <v>3750000</v>
      </c>
      <c r="D20" s="8" t="s">
        <v>53</v>
      </c>
      <c r="E20" s="8">
        <v>161308.47770225201</v>
      </c>
      <c r="F20" s="8">
        <v>28.272297747986158</v>
      </c>
      <c r="G20" s="8">
        <v>175.26851750576932</v>
      </c>
    </row>
    <row r="21" spans="1:7" x14ac:dyDescent="0.3">
      <c r="A21" s="8">
        <v>164772.39000000001</v>
      </c>
      <c r="B21" s="8">
        <v>5.39</v>
      </c>
      <c r="C21" s="8">
        <v>32100000</v>
      </c>
      <c r="D21" s="8" t="s">
        <v>49</v>
      </c>
      <c r="E21" s="8">
        <v>164744.13770225202</v>
      </c>
      <c r="F21" s="8">
        <v>28.252297747996636</v>
      </c>
      <c r="G21" s="8">
        <v>171.49197623686024</v>
      </c>
    </row>
    <row r="22" spans="1:7" x14ac:dyDescent="0.3">
      <c r="A22" s="8">
        <v>164908.32999999999</v>
      </c>
      <c r="B22" s="8">
        <v>0.66</v>
      </c>
      <c r="C22" s="8">
        <v>3910000</v>
      </c>
      <c r="D22" s="8" t="s">
        <v>49</v>
      </c>
      <c r="E22" s="8">
        <v>164871.14299988901</v>
      </c>
      <c r="F22" s="8">
        <v>37.187000110978261</v>
      </c>
      <c r="G22" s="8">
        <v>225.55190334917066</v>
      </c>
    </row>
    <row r="23" spans="1:7" x14ac:dyDescent="0.3">
      <c r="A23" s="8">
        <v>166898.47</v>
      </c>
      <c r="B23" s="8">
        <v>0.21</v>
      </c>
      <c r="C23" s="8">
        <v>1260000</v>
      </c>
      <c r="D23" s="8" t="s">
        <v>57</v>
      </c>
      <c r="E23" s="8">
        <v>166865.35770225202</v>
      </c>
      <c r="F23" s="8">
        <v>33.112297747982666</v>
      </c>
      <c r="G23" s="8">
        <v>198.43722030708705</v>
      </c>
    </row>
    <row r="24" spans="1:7" x14ac:dyDescent="0.3">
      <c r="A24" s="8">
        <v>54213.93</v>
      </c>
      <c r="B24" s="8">
        <v>0.41</v>
      </c>
      <c r="C24" s="8">
        <v>2450000</v>
      </c>
      <c r="D24" s="8" t="s">
        <v>98</v>
      </c>
      <c r="E24" s="8">
        <v>54225.78</v>
      </c>
      <c r="F24" s="8">
        <v>-11.849999999998545</v>
      </c>
      <c r="G24" s="8">
        <v>-218.53074312621314</v>
      </c>
    </row>
    <row r="25" spans="1:7" x14ac:dyDescent="0.3">
      <c r="A25" s="8">
        <v>81441.78</v>
      </c>
      <c r="B25" s="8">
        <v>0.51</v>
      </c>
      <c r="C25" s="8">
        <v>3040000</v>
      </c>
      <c r="D25" s="8" t="s">
        <v>96</v>
      </c>
      <c r="E25" s="8">
        <v>81454.920000000013</v>
      </c>
      <c r="F25" s="8">
        <v>-13.14000000001397</v>
      </c>
      <c r="G25" s="8">
        <v>-161.31622251932686</v>
      </c>
    </row>
    <row r="26" spans="1:7" x14ac:dyDescent="0.3">
      <c r="A26" s="8">
        <v>25102.28</v>
      </c>
      <c r="B26" s="8">
        <v>6.12</v>
      </c>
      <c r="C26" s="8">
        <v>36500000</v>
      </c>
      <c r="D26" s="8" t="s">
        <v>90</v>
      </c>
      <c r="E26" s="8">
        <v>25107.920000000002</v>
      </c>
      <c r="F26" s="8">
        <v>-5.6400000000030559</v>
      </c>
      <c r="G26" s="8">
        <v>-224.63031585264952</v>
      </c>
    </row>
    <row r="27" spans="1:7" x14ac:dyDescent="0.3">
      <c r="A27" s="8">
        <v>25506.22</v>
      </c>
      <c r="B27" s="8">
        <v>0.84</v>
      </c>
      <c r="C27" s="8">
        <v>4980000</v>
      </c>
      <c r="D27" s="8" t="s">
        <v>94</v>
      </c>
      <c r="E27" s="8">
        <v>25511.31</v>
      </c>
      <c r="F27" s="8">
        <v>-5.0900000000001455</v>
      </c>
      <c r="G27" s="8">
        <v>-199.51935043712555</v>
      </c>
    </row>
    <row r="28" spans="1:7" x14ac:dyDescent="0.3">
      <c r="A28" s="8">
        <v>27223.33</v>
      </c>
      <c r="B28" s="8">
        <v>23.64</v>
      </c>
      <c r="C28" s="8">
        <v>141000000</v>
      </c>
      <c r="D28" s="8" t="s">
        <v>88</v>
      </c>
      <c r="E28" s="8">
        <v>27229.140000000003</v>
      </c>
      <c r="F28" s="8">
        <v>-5.8100000000013097</v>
      </c>
      <c r="G28" s="8">
        <v>-213.37434821670126</v>
      </c>
    </row>
    <row r="29" spans="1:7" x14ac:dyDescent="0.3">
      <c r="A29" s="8">
        <v>29344.77</v>
      </c>
      <c r="B29" s="8">
        <v>1.23</v>
      </c>
      <c r="C29" s="8">
        <v>7330000</v>
      </c>
      <c r="D29" s="8" t="s">
        <v>92</v>
      </c>
      <c r="E29" s="8">
        <v>29350.36</v>
      </c>
      <c r="F29" s="8">
        <v>-5.5900000000001455</v>
      </c>
      <c r="G29" s="8">
        <v>-190.45762982124054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A090412_P_DN</vt:lpstr>
      <vt:lpstr>DAR_A090412_P_DN</vt:lpstr>
      <vt:lpstr>A090512_P_DN</vt:lpstr>
      <vt:lpstr>DAR_A090512_P_DN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Hsia</dc:creator>
  <cp:lastModifiedBy>Ben Hsia</cp:lastModifiedBy>
  <dcterms:created xsi:type="dcterms:W3CDTF">2015-06-05T18:17:20Z</dcterms:created>
  <dcterms:modified xsi:type="dcterms:W3CDTF">2026-08-19T08:42:46Z</dcterms:modified>
</cp:coreProperties>
</file>